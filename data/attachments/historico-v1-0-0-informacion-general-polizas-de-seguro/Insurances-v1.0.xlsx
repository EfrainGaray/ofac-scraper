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3A303856-3F7A-4973-B919-80138FB7FF54}" xr6:coauthVersionLast="47" xr6:coauthVersionMax="47" xr10:uidLastSave="{00000000-0000-0000-0000-000000000000}"/>
  <bookViews>
    <workbookView xWindow="-110" yWindow="-110" windowWidth="19420" windowHeight="10300" xr2:uid="{DF1D22F5-C324-4324-A8A4-59FB32F501E3}"/>
  </bookViews>
  <sheets>
    <sheet name="insura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4" i="1" s="1"/>
  <c r="J15" i="1" s="1"/>
  <c r="J42" i="1" l="1"/>
  <c r="J43" i="1" s="1"/>
  <c r="J28" i="1"/>
  <c r="J16" i="1"/>
  <c r="J25" i="1"/>
  <c r="J24" i="1"/>
  <c r="J23" i="1"/>
  <c r="J34" i="1"/>
  <c r="J22" i="1"/>
  <c r="J21" i="1"/>
  <c r="J20" i="1"/>
  <c r="J19" i="1"/>
  <c r="J30" i="1"/>
  <c r="J18" i="1"/>
  <c r="J29" i="1"/>
  <c r="J17" i="1"/>
  <c r="J27" i="1"/>
  <c r="J26" i="1"/>
  <c r="J45" i="1" l="1"/>
  <c r="J44" i="1"/>
  <c r="J33" i="1"/>
  <c r="J32" i="1"/>
  <c r="J31" i="1"/>
  <c r="J38" i="1"/>
  <c r="J37" i="1"/>
  <c r="J36" i="1"/>
  <c r="J35" i="1"/>
  <c r="J41" i="1" l="1"/>
  <c r="J40" i="1"/>
  <c r="J39" i="1"/>
</calcChain>
</file>

<file path=xl/sharedStrings.xml><?xml version="1.0" encoding="utf-8"?>
<sst xmlns="http://schemas.openxmlformats.org/spreadsheetml/2006/main" count="279" uniqueCount="160">
  <si>
    <t>API:</t>
  </si>
  <si>
    <t>Recurso: GET</t>
  </si>
  <si>
    <t xml:space="preserve"> /insurances/v1/insurances</t>
  </si>
  <si>
    <t xml:space="preserve">Elaborado por: 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</si>
  <si>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</si>
  <si>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</si>
  <si>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</si>
  <si>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</si>
  <si>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</si>
  <si>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</si>
  <si>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</si>
  <si>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</si>
  <si>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</si>
  <si>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</si>
  <si>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</si>
  <si>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</si>
  <si>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</si>
  <si>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</si>
  <si>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</si>
  <si>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</si>
  <si>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</si>
  <si>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</si>
  <si>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</si>
  <si>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</si>
  <si>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</si>
  <si>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</si>
  <si>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Name</t>
  </si>
  <si>
    <t>Glosa Field Name</t>
  </si>
  <si>
    <t>Path</t>
  </si>
  <si>
    <t>insurancesResponse</t>
  </si>
  <si>
    <t>data</t>
  </si>
  <si>
    <t>insurances</t>
  </si>
  <si>
    <t>Lista de Pólizas</t>
  </si>
  <si>
    <t>Array&lt;Insurances&gt;</t>
  </si>
  <si>
    <t>array&lt;object&gt;</t>
  </si>
  <si>
    <t>[0..*]</t>
  </si>
  <si>
    <t>Response: Array con las pólizas resultantes de la consulta. Cada elemento describe una póliza.</t>
  </si>
  <si>
    <t>companyRut</t>
  </si>
  <si>
    <t>RUT de la compañía que responde</t>
  </si>
  <si>
    <t>RUTType</t>
  </si>
  <si>
    <t>string</t>
  </si>
  <si>
    <t>[1..1]</t>
  </si>
  <si>
    <t>Sí</t>
  </si>
  <si>
    <t>"11111111-1"</t>
  </si>
  <si>
    <t>Response: RUT de la aseguradora que emite esta información.</t>
  </si>
  <si>
    <t>companyName</t>
  </si>
  <si>
    <t>Razón Social de la Compañía</t>
  </si>
  <si>
    <t>Max140Text</t>
  </si>
  <si>
    <t>"Aseguradora XX"</t>
  </si>
  <si>
    <t>Response: Nombre o razón social de la compañía aseguradora.</t>
  </si>
  <si>
    <t>group</t>
  </si>
  <si>
    <t>Grupo al que pertenece la entidad</t>
  </si>
  <si>
    <t>GroupType</t>
  </si>
  <si>
    <t>"VIDA"</t>
  </si>
  <si>
    <t>Response: Puede ser “VIDA” o “GENERALES”.</t>
  </si>
  <si>
    <t>informationCloseDate</t>
  </si>
  <si>
    <t>Fecha de cierre de la información</t>
  </si>
  <si>
    <t>ISODate</t>
  </si>
  <si>
    <t>string (date)</t>
  </si>
  <si>
    <t>"2025-01-31"</t>
  </si>
  <si>
    <t>Response: Fecha en la que la aseguradora actualizó la data en sus sistemas (YYYY/MM/DD).</t>
  </si>
  <si>
    <t>policyNumberInternal</t>
  </si>
  <si>
    <t>Número interno de la póliza</t>
  </si>
  <si>
    <t>Max40Text</t>
  </si>
  <si>
    <t>"POL98765"</t>
  </si>
  <si>
    <t>Response: ID interno (contratual) de la póliza.</t>
  </si>
  <si>
    <t>policyStatus</t>
  </si>
  <si>
    <t>Estado de la póliza</t>
  </si>
  <si>
    <t>PolicyStatusCode</t>
  </si>
  <si>
    <t>"VIGENTE"</t>
  </si>
  <si>
    <t>Response: Ej. “VIGENTE”, “NO_VIGENTE_CON_OBLIGACIONES_VIGENTES”.</t>
  </si>
  <si>
    <t>policyCollectiveOrIndividual</t>
  </si>
  <si>
    <t>Indica si es Colectiva o Individual</t>
  </si>
  <si>
    <t>CollectiveTypeCode</t>
  </si>
  <si>
    <t>"COLECTIVO"</t>
  </si>
  <si>
    <t>Response: “INDIVIDUAL” o “COLECTIVO”.</t>
  </si>
  <si>
    <t>startDateCollective</t>
  </si>
  <si>
    <t>Fecha inicio vigencia (colectiva)</t>
  </si>
  <si>
    <t>"2025-01-01"</t>
  </si>
  <si>
    <t>Response: Solo se informa si la póliza es colectiva.</t>
  </si>
  <si>
    <t>noEndDateCollective</t>
  </si>
  <si>
    <t>¿Sin fecha término colectiva?</t>
  </si>
  <si>
    <t>YesNoIndicator</t>
  </si>
  <si>
    <t>"SI"</t>
  </si>
  <si>
    <t>Response: “SI” si no existe fecha término conocida; “NO” en caso contrario.</t>
  </si>
  <si>
    <t>endDateCollective</t>
  </si>
  <si>
    <t>Fecha término vigencia colectiva</t>
  </si>
  <si>
    <t>"2025-12-31"</t>
  </si>
  <si>
    <t>Response: Solo si es colectiva, formato YYYY/MM/DD.</t>
  </si>
  <si>
    <t>currentPremium</t>
  </si>
  <si>
    <t>Prima vigente</t>
  </si>
  <si>
    <t>Amount</t>
  </si>
  <si>
    <t>number</t>
  </si>
  <si>
    <t>Monto que el asegurado está pagando actualmente como prima.</t>
  </si>
  <si>
    <t>premiumPeriodicity</t>
  </si>
  <si>
    <t>Periodicidad de la prima</t>
  </si>
  <si>
    <t>FrequencyCode</t>
  </si>
  <si>
    <t>"MONTH"</t>
  </si>
  <si>
    <t>Indica si se paga Mensual (MONTH), Anual (YEAR), etc.</t>
  </si>
  <si>
    <t>premiumPaymentFrequency</t>
  </si>
  <si>
    <t>Frecuencia de pago de la prima</t>
  </si>
  <si>
    <t>"MONTHLY"</t>
  </si>
  <si>
    <t>Detalla la frecuencia específica del pago (MONTHLY, QUARTERLY, SEMIANNUAL, etc.).</t>
  </si>
  <si>
    <t>premiumCurrency</t>
  </si>
  <si>
    <t>Moneda de la transacción</t>
  </si>
  <si>
    <t>ISO4217CurrencyCode</t>
  </si>
  <si>
    <t>"CLP"</t>
  </si>
  <si>
    <t>Moneda en la que se realiza la transacción.</t>
  </si>
  <si>
    <t>insured</t>
  </si>
  <si>
    <t>Objeto insured</t>
  </si>
  <si>
    <t>Object</t>
  </si>
  <si>
    <t>object insured</t>
  </si>
  <si>
    <t>typeIdentification</t>
  </si>
  <si>
    <t>Tipo de identificador del asegurado</t>
  </si>
  <si>
    <t>IdentificationCode</t>
  </si>
  <si>
    <t>"RUT"</t>
  </si>
  <si>
    <t>Response: Se indica “RUT”.</t>
  </si>
  <si>
    <t>numberIdentification</t>
  </si>
  <si>
    <t>Número identificador del asegurado</t>
  </si>
  <si>
    <t>Response: Al ser RUT, formato NNNNNNNN-K.</t>
  </si>
  <si>
    <t>nameOrSocialReason</t>
  </si>
  <si>
    <t>Nombre / Razón Social del asegurado</t>
  </si>
  <si>
    <t>"Juan Pérez"</t>
  </si>
  <si>
    <t>Response: En caso de SOAP, usar “ASEGURADOS SOAP”.</t>
  </si>
  <si>
    <t>contractHolder</t>
  </si>
  <si>
    <t>Objeto Contratante</t>
  </si>
  <si>
    <t>object contractHolder</t>
  </si>
  <si>
    <t>Tipo identificador del contratante</t>
  </si>
  <si>
    <t>Response: “RUT”.</t>
  </si>
  <si>
    <t>Número identificador del contratante</t>
  </si>
  <si>
    <t>"22222222-2"</t>
  </si>
  <si>
    <t>Response: Formato NNNNNNNN-K.</t>
  </si>
  <si>
    <t>Nombre / Razón Social del contratante</t>
  </si>
  <si>
    <t>"Empresa ABC"</t>
  </si>
  <si>
    <t>Response: Podrían ser iguales a los datos del asegurado si es la misma persona.</t>
  </si>
  <si>
    <t>broker</t>
  </si>
  <si>
    <t>Objeto corredor</t>
  </si>
  <si>
    <t>object broker</t>
  </si>
  <si>
    <t>Tipo de ID del corredor/asesor</t>
  </si>
  <si>
    <t>Response: Solo si existe corredor.</t>
  </si>
  <si>
    <t>Número identificador del corredor/asesor</t>
  </si>
  <si>
    <t>"33333333-3"</t>
  </si>
  <si>
    <t>Nombre / Razón Social corredor/asesor</t>
  </si>
  <si>
    <t>"Corredor XYZ"</t>
  </si>
  <si>
    <t>Response: Datos completos del corredor.</t>
  </si>
  <si>
    <t>details</t>
  </si>
  <si>
    <t>Objecto detalle</t>
  </si>
  <si>
    <t>policies</t>
  </si>
  <si>
    <t>Pólizas del contrato (CMF)</t>
  </si>
  <si>
    <t>Array&lt;PolicyItem&gt;</t>
  </si>
  <si>
    <t>Response: Lista de Pólizas depositadas en la CMF relacionadas (p.ej. “POL00123456”).</t>
  </si>
  <si>
    <t>code</t>
  </si>
  <si>
    <t>Código póliza CMF (POLXXXX)</t>
  </si>
  <si>
    <t>"POL00123456"</t>
  </si>
  <si>
    <t>Response: Ejemplo “POL0000123”.</t>
  </si>
  <si>
    <t>branch</t>
  </si>
  <si>
    <t>Ramo (Circular N°2022)</t>
  </si>
  <si>
    <t>Max70Text</t>
  </si>
  <si>
    <t>"Vida Individual"</t>
  </si>
  <si>
    <t>Response: Ramo especificado en la circular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</si>
</sst>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b/>
      <sz val="11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7" fillId="0" borderId="0" applyFill="0" applyBorder="0">
      <alignment horizontal="center" vertical="center"/>
    </xf>
  </cellStyleXfs>
  <cellXfs count="2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1" applyFont="1" applyFill="1" applyAlignment="1">
      <alignment horizontal="left" vertical="center" indent="1"/>
    </xf>
    <xf numFmtId="0" fontId="5" fillId="0" borderId="0" xfId="1" applyFont="1" applyFill="1" applyAlignment="1">
      <alignment vertical="center"/>
    </xf>
    <xf numFmtId="0" fontId="6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center" wrapText="1" indent="3"/>
    </xf>
    <xf numFmtId="0" fontId="0" fillId="0" borderId="2" xfId="0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4"/>
    </xf>
    <xf numFmtId="0" fontId="4" fillId="0" borderId="2" xfId="0" applyFont="1" applyBorder="1" applyAlignment="1">
      <alignment horizontal="left" vertical="center" wrapText="1" indent="5"/>
    </xf>
    <xf numFmtId="0" fontId="5" fillId="0" borderId="0" xfId="1" applyFont="1" applyFill="1" applyAlignment="1">
      <alignment horizontal="left" vertical="center" wrapText="1"/>
    </xf>
  </cellXfs>
  <cellStyles count="4">
    <cellStyle name="Fecha" xfId="3" xr:uid="{85F84A7B-DC34-493C-9B11-5EB56481513E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371459</xdr:colOff>
      <xdr:row>0</xdr:row>
      <xdr:rowOff>0</xdr:rowOff>
    </xdr:from>
    <xdr:to>
      <xdr:col>8</xdr:col>
      <xdr:colOff>374</xdr:colOff>
      <xdr:row>1</xdr:row>
      <xdr:rowOff>98312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5F50EB7A-DBEE-4492-8D38-FF25B23C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34" y="0"/>
          <a:ext cx="1921639" cy="993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9E0F1F-6EFB-4E82-8611-84EE0E91A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EE93-1DA6-4E01-BF74-0721FD7D194B}">
  <dimension ref="B1:J45"/>
  <sheetViews>
    <sheetView showGridLines="0" tabSelected="1" zoomScale="85" zoomScaleNormal="85" workbookViewId="0">
      <selection activeCell="B14" sqref="B14"/>
    </sheetView>
  </sheetViews>
  <sheetFormatPr baseColWidth="10" defaultColWidth="11.26953125" defaultRowHeight="14.5"/>
  <cols>
    <col min="1" max="1" width="6.7265625" customWidth="1"/>
    <col min="2" max="2" width="40.81640625" customWidth="1"/>
    <col min="3" max="3" width="24" bestFit="1" customWidth="1"/>
    <col min="4" max="4" width="23.26953125" customWidth="1"/>
    <col min="5" max="5" width="19.7265625" bestFit="1" customWidth="1"/>
    <col min="6" max="6" width="15.453125" style="2" customWidth="1"/>
    <col min="7" max="7" width="13.7265625" customWidth="1"/>
    <col min="8" max="8" width="20.7265625" bestFit="1" customWidth="1"/>
    <col min="9" max="9" width="69.7265625" customWidth="1"/>
    <col min="10" max="10" width="66.726562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3" spans="2:10" ht="21">
      <c r="B3" s="5" t="s">
        <v>3</v>
      </c>
      <c r="D3" s="3"/>
      <c r="E3" s="22"/>
      <c r="F3" s="22"/>
      <c r="G3" s="22"/>
    </row>
    <row r="5" spans="2:10" ht="21">
      <c r="B5" s="3" t="s">
        <v>4</v>
      </c>
    </row>
    <row r="6" spans="2:10">
      <c r="B6" s="6" t="s">
        <v>5</v>
      </c>
      <c r="C6" s="7" t="s">
        <v>6</v>
      </c>
      <c r="D6" s="7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</row>
    <row r="7" spans="2:10">
      <c r="B7" s="8" t="s">
        <v>14</v>
      </c>
      <c r="C7" s="9" t="s">
        <v>15</v>
      </c>
      <c r="D7" s="9" t="s">
        <v>16</v>
      </c>
      <c r="E7" s="10" t="s">
        <v>17</v>
      </c>
      <c r="F7" s="10" t="s">
        <v>18</v>
      </c>
      <c r="G7" s="11" t="s">
        <v>19</v>
      </c>
      <c r="H7" s="11" t="s">
        <v>20</v>
      </c>
      <c r="I7" s="12">
        <v>1</v>
      </c>
      <c r="J7" s="13" t="s">
        <v>21</v>
      </c>
    </row>
    <row r="8" spans="2:10">
      <c r="B8" s="8" t="s">
        <v>22</v>
      </c>
      <c r="C8" s="9" t="s">
        <v>23</v>
      </c>
      <c r="D8" s="9" t="s">
        <v>16</v>
      </c>
      <c r="E8" s="10" t="s">
        <v>17</v>
      </c>
      <c r="F8" s="10" t="s">
        <v>18</v>
      </c>
      <c r="G8" s="11" t="s">
        <v>19</v>
      </c>
      <c r="H8" s="11" t="s">
        <v>20</v>
      </c>
      <c r="I8" s="12">
        <v>20</v>
      </c>
      <c r="J8" s="13" t="s">
        <v>24</v>
      </c>
    </row>
    <row r="10" spans="2:10" ht="21">
      <c r="B10" s="3" t="s">
        <v>25</v>
      </c>
    </row>
    <row r="11" spans="2:10" ht="14.25" customHeight="1">
      <c r="B11" s="3"/>
    </row>
    <row r="12" spans="2:10">
      <c r="B12" s="6" t="s">
        <v>26</v>
      </c>
      <c r="C12" s="7" t="s">
        <v>27</v>
      </c>
      <c r="D12" s="7" t="s">
        <v>8</v>
      </c>
      <c r="E12" s="6" t="s">
        <v>9</v>
      </c>
      <c r="F12" s="6" t="s">
        <v>10</v>
      </c>
      <c r="G12" s="6" t="s">
        <v>11</v>
      </c>
      <c r="H12" s="6" t="s">
        <v>12</v>
      </c>
      <c r="I12" s="6" t="s">
        <v>13</v>
      </c>
      <c r="J12" s="6" t="s">
        <v>28</v>
      </c>
    </row>
    <row r="13" spans="2:10">
      <c r="B13" s="8" t="s">
        <v>29</v>
      </c>
      <c r="C13" s="13"/>
      <c r="D13" s="13"/>
      <c r="E13" s="13"/>
      <c r="F13" s="11"/>
      <c r="G13" s="11"/>
      <c r="H13" s="11"/>
      <c r="I13" s="12"/>
      <c r="J13" s="9" t="str">
        <f>CONCATENATE("/",B13)</f>
        <v>/insurancesResponse</v>
      </c>
    </row>
    <row r="14" spans="2:10">
      <c r="B14" s="15" t="s">
        <v>30</v>
      </c>
      <c r="C14" s="13"/>
      <c r="D14" s="13"/>
      <c r="E14" s="13"/>
      <c r="F14" s="11"/>
      <c r="G14" s="11"/>
      <c r="H14" s="11"/>
      <c r="I14" s="12"/>
      <c r="J14" s="9" t="str">
        <f>CONCATENATE(J13,"/",B14)</f>
        <v>/insurancesResponse/data</v>
      </c>
    </row>
    <row r="15" spans="2:10" ht="25">
      <c r="B15" s="16" t="s">
        <v>31</v>
      </c>
      <c r="C15" s="13" t="s">
        <v>32</v>
      </c>
      <c r="D15" s="13" t="s">
        <v>33</v>
      </c>
      <c r="E15" s="13" t="s">
        <v>34</v>
      </c>
      <c r="F15" s="11" t="s">
        <v>35</v>
      </c>
      <c r="G15" s="11" t="s">
        <v>20</v>
      </c>
      <c r="H15" s="11"/>
      <c r="I15" s="12" t="s">
        <v>36</v>
      </c>
      <c r="J15" s="9" t="str">
        <f>CONCATENATE(J14,"/",B15)</f>
        <v>/insurancesResponse/data/insurances</v>
      </c>
    </row>
    <row r="16" spans="2:10" ht="29">
      <c r="B16" s="17" t="s">
        <v>37</v>
      </c>
      <c r="C16" s="13" t="s">
        <v>38</v>
      </c>
      <c r="D16" s="13" t="s">
        <v>39</v>
      </c>
      <c r="E16" s="13" t="s">
        <v>40</v>
      </c>
      <c r="F16" s="11" t="s">
        <v>41</v>
      </c>
      <c r="G16" s="11" t="s">
        <v>42</v>
      </c>
      <c r="H16" s="11" t="s">
        <v>43</v>
      </c>
      <c r="I16" s="12" t="s">
        <v>44</v>
      </c>
      <c r="J16" s="9" t="str">
        <f>CONCATENATE($J$15,"/",B16)</f>
        <v>/insurancesResponse/data/insurances/companyRut</v>
      </c>
    </row>
    <row r="17" spans="2:10" ht="30.75" customHeight="1">
      <c r="B17" s="17" t="s">
        <v>45</v>
      </c>
      <c r="C17" s="13" t="s">
        <v>46</v>
      </c>
      <c r="D17" s="13" t="s">
        <v>47</v>
      </c>
      <c r="E17" s="13" t="s">
        <v>40</v>
      </c>
      <c r="F17" s="11" t="s">
        <v>41</v>
      </c>
      <c r="G17" s="11" t="s">
        <v>42</v>
      </c>
      <c r="H17" s="11" t="s">
        <v>48</v>
      </c>
      <c r="I17" s="12" t="s">
        <v>49</v>
      </c>
      <c r="J17" s="9" t="str">
        <f t="shared" ref="J17:J28" si="0">CONCATENATE($J$15,"/",B17)</f>
        <v>/insurancesResponse/data/insurances/companyName</v>
      </c>
    </row>
    <row r="18" spans="2:10" ht="29">
      <c r="B18" s="17" t="s">
        <v>50</v>
      </c>
      <c r="C18" s="13" t="s">
        <v>51</v>
      </c>
      <c r="D18" s="13" t="s">
        <v>52</v>
      </c>
      <c r="E18" s="13" t="s">
        <v>40</v>
      </c>
      <c r="F18" s="11" t="s">
        <v>19</v>
      </c>
      <c r="G18" s="11" t="s">
        <v>20</v>
      </c>
      <c r="H18" s="11" t="s">
        <v>53</v>
      </c>
      <c r="I18" s="12" t="s">
        <v>54</v>
      </c>
      <c r="J18" s="9" t="str">
        <f t="shared" si="0"/>
        <v>/insurancesResponse/data/insurances/group</v>
      </c>
    </row>
    <row r="19" spans="2:10" ht="29">
      <c r="B19" s="17" t="s">
        <v>55</v>
      </c>
      <c r="C19" s="18" t="s">
        <v>56</v>
      </c>
      <c r="D19" s="18" t="s">
        <v>57</v>
      </c>
      <c r="E19" s="14" t="s">
        <v>58</v>
      </c>
      <c r="F19" s="11" t="s">
        <v>19</v>
      </c>
      <c r="G19" s="11" t="s">
        <v>20</v>
      </c>
      <c r="H19" s="11" t="s">
        <v>59</v>
      </c>
      <c r="I19" s="12" t="s">
        <v>60</v>
      </c>
      <c r="J19" s="9" t="str">
        <f t="shared" si="0"/>
        <v>/insurancesResponse/data/insurances/informationCloseDate</v>
      </c>
    </row>
    <row r="20" spans="2:10" ht="39" customHeight="1">
      <c r="B20" s="17" t="s">
        <v>61</v>
      </c>
      <c r="C20" s="14" t="s">
        <v>62</v>
      </c>
      <c r="D20" s="14" t="s">
        <v>63</v>
      </c>
      <c r="E20" s="14" t="s">
        <v>40</v>
      </c>
      <c r="F20" s="11" t="s">
        <v>41</v>
      </c>
      <c r="G20" s="11" t="s">
        <v>42</v>
      </c>
      <c r="H20" s="11" t="s">
        <v>64</v>
      </c>
      <c r="I20" s="12" t="s">
        <v>65</v>
      </c>
      <c r="J20" s="9" t="str">
        <f t="shared" si="0"/>
        <v>/insurancesResponse/data/insurances/policyNumberInternal</v>
      </c>
    </row>
    <row r="21" spans="2:10">
      <c r="B21" s="17" t="s">
        <v>66</v>
      </c>
      <c r="C21" s="14" t="s">
        <v>67</v>
      </c>
      <c r="D21" s="14" t="s">
        <v>68</v>
      </c>
      <c r="E21" s="14" t="s">
        <v>40</v>
      </c>
      <c r="F21" s="11" t="s">
        <v>41</v>
      </c>
      <c r="G21" s="11" t="s">
        <v>42</v>
      </c>
      <c r="H21" s="11" t="s">
        <v>69</v>
      </c>
      <c r="I21" s="12" t="s">
        <v>70</v>
      </c>
      <c r="J21" s="9" t="str">
        <f t="shared" si="0"/>
        <v>/insurancesResponse/data/insurances/policyStatus</v>
      </c>
    </row>
    <row r="22" spans="2:10" ht="29">
      <c r="B22" s="17" t="s">
        <v>71</v>
      </c>
      <c r="C22" s="14" t="s">
        <v>72</v>
      </c>
      <c r="D22" s="14" t="s">
        <v>73</v>
      </c>
      <c r="E22" s="14" t="s">
        <v>40</v>
      </c>
      <c r="F22" s="11" t="s">
        <v>19</v>
      </c>
      <c r="G22" s="11" t="s">
        <v>20</v>
      </c>
      <c r="H22" s="11" t="s">
        <v>74</v>
      </c>
      <c r="I22" s="19" t="s">
        <v>75</v>
      </c>
      <c r="J22" s="9" t="str">
        <f t="shared" si="0"/>
        <v>/insurancesResponse/data/insurances/policyCollectiveOrIndividual</v>
      </c>
    </row>
    <row r="23" spans="2:10" ht="29">
      <c r="B23" s="17" t="s">
        <v>76</v>
      </c>
      <c r="C23" s="14" t="s">
        <v>77</v>
      </c>
      <c r="D23" s="14" t="s">
        <v>57</v>
      </c>
      <c r="E23" s="14" t="s">
        <v>58</v>
      </c>
      <c r="F23" s="11" t="s">
        <v>19</v>
      </c>
      <c r="G23" s="11" t="s">
        <v>20</v>
      </c>
      <c r="H23" s="11" t="s">
        <v>78</v>
      </c>
      <c r="I23" s="19" t="s">
        <v>79</v>
      </c>
      <c r="J23" s="9" t="str">
        <f t="shared" si="0"/>
        <v>/insurancesResponse/data/insurances/startDateCollective</v>
      </c>
    </row>
    <row r="24" spans="2:10" ht="29">
      <c r="B24" s="17" t="s">
        <v>80</v>
      </c>
      <c r="C24" s="14" t="s">
        <v>81</v>
      </c>
      <c r="D24" s="14" t="s">
        <v>82</v>
      </c>
      <c r="E24" s="14" t="s">
        <v>40</v>
      </c>
      <c r="F24" s="11" t="s">
        <v>19</v>
      </c>
      <c r="G24" s="11" t="s">
        <v>20</v>
      </c>
      <c r="H24" s="11" t="s">
        <v>83</v>
      </c>
      <c r="I24" s="19" t="s">
        <v>84</v>
      </c>
      <c r="J24" s="9" t="str">
        <f t="shared" si="0"/>
        <v>/insurancesResponse/data/insurances/noEndDateCollective</v>
      </c>
    </row>
    <row r="25" spans="2:10" ht="29">
      <c r="B25" s="17" t="s">
        <v>85</v>
      </c>
      <c r="C25" s="14" t="s">
        <v>86</v>
      </c>
      <c r="D25" s="14" t="s">
        <v>57</v>
      </c>
      <c r="E25" s="14" t="s">
        <v>58</v>
      </c>
      <c r="F25" s="11" t="s">
        <v>19</v>
      </c>
      <c r="G25" s="11" t="s">
        <v>20</v>
      </c>
      <c r="H25" s="11" t="s">
        <v>87</v>
      </c>
      <c r="I25" s="19" t="s">
        <v>88</v>
      </c>
      <c r="J25" s="9" t="str">
        <f t="shared" si="0"/>
        <v>/insurancesResponse/data/insurances/endDateCollective</v>
      </c>
    </row>
    <row r="26" spans="2:10">
      <c r="B26" s="17" t="s">
        <v>89</v>
      </c>
      <c r="C26" s="14" t="s">
        <v>90</v>
      </c>
      <c r="D26" s="14" t="s">
        <v>91</v>
      </c>
      <c r="E26" s="14" t="s">
        <v>92</v>
      </c>
      <c r="F26" s="11" t="s">
        <v>19</v>
      </c>
      <c r="G26" s="11" t="s">
        <v>20</v>
      </c>
      <c r="H26" s="11">
        <v>25000</v>
      </c>
      <c r="I26" s="11" t="s">
        <v>93</v>
      </c>
      <c r="J26" s="9" t="str">
        <f t="shared" si="0"/>
        <v>/insurancesResponse/data/insurances/currentPremium</v>
      </c>
    </row>
    <row r="27" spans="2:10">
      <c r="B27" s="17" t="s">
        <v>94</v>
      </c>
      <c r="C27" s="14" t="s">
        <v>95</v>
      </c>
      <c r="D27" s="14" t="s">
        <v>96</v>
      </c>
      <c r="E27" s="14" t="s">
        <v>40</v>
      </c>
      <c r="F27" s="11" t="s">
        <v>19</v>
      </c>
      <c r="G27" s="11" t="s">
        <v>20</v>
      </c>
      <c r="H27" s="11" t="s">
        <v>97</v>
      </c>
      <c r="I27" s="11" t="s">
        <v>98</v>
      </c>
      <c r="J27" s="9" t="str">
        <f t="shared" si="0"/>
        <v>/insurancesResponse/data/insurances/premiumPeriodicity</v>
      </c>
    </row>
    <row r="28" spans="2:10" ht="29">
      <c r="B28" s="17" t="s">
        <v>99</v>
      </c>
      <c r="C28" s="14" t="s">
        <v>100</v>
      </c>
      <c r="D28" s="14" t="s">
        <v>96</v>
      </c>
      <c r="E28" s="14" t="s">
        <v>40</v>
      </c>
      <c r="F28" s="11" t="s">
        <v>19</v>
      </c>
      <c r="G28" s="11" t="s">
        <v>20</v>
      </c>
      <c r="H28" s="11" t="s">
        <v>101</v>
      </c>
      <c r="I28" s="11" t="s">
        <v>102</v>
      </c>
      <c r="J28" s="9" t="str">
        <f t="shared" si="0"/>
        <v>/insurancesResponse/data/insurances/premiumPaymentFrequency</v>
      </c>
    </row>
    <row r="29" spans="2:10">
      <c r="B29" s="17" t="s">
        <v>103</v>
      </c>
      <c r="C29" s="14" t="s">
        <v>104</v>
      </c>
      <c r="D29" s="14" t="s">
        <v>105</v>
      </c>
      <c r="E29" s="14" t="s">
        <v>40</v>
      </c>
      <c r="F29" s="11" t="s">
        <v>41</v>
      </c>
      <c r="G29" s="11" t="s">
        <v>42</v>
      </c>
      <c r="H29" s="11" t="s">
        <v>106</v>
      </c>
      <c r="I29" s="14" t="s">
        <v>107</v>
      </c>
      <c r="J29" s="9" t="str">
        <f>CONCATENATE($J$15,"/",B29)</f>
        <v>/insurancesResponse/data/insurances/premiumCurrency</v>
      </c>
    </row>
    <row r="30" spans="2:10">
      <c r="B30" s="17" t="s">
        <v>108</v>
      </c>
      <c r="C30" s="14" t="s">
        <v>109</v>
      </c>
      <c r="D30" s="14" t="s">
        <v>110</v>
      </c>
      <c r="E30" s="14" t="s">
        <v>111</v>
      </c>
      <c r="F30" s="11" t="s">
        <v>41</v>
      </c>
      <c r="G30" s="11" t="s">
        <v>42</v>
      </c>
      <c r="H30" s="11"/>
      <c r="I30" s="14"/>
      <c r="J30" s="9" t="str">
        <f>CONCATENATE($J$15,"/",B30)</f>
        <v>/insurancesResponse/data/insurances/insured</v>
      </c>
    </row>
    <row r="31" spans="2:10" ht="29">
      <c r="B31" s="20" t="s">
        <v>112</v>
      </c>
      <c r="C31" s="14" t="s">
        <v>113</v>
      </c>
      <c r="D31" s="14" t="s">
        <v>114</v>
      </c>
      <c r="E31" s="14" t="s">
        <v>40</v>
      </c>
      <c r="F31" s="11" t="s">
        <v>41</v>
      </c>
      <c r="G31" s="11" t="s">
        <v>42</v>
      </c>
      <c r="H31" s="11" t="s">
        <v>115</v>
      </c>
      <c r="I31" s="19" t="s">
        <v>116</v>
      </c>
      <c r="J31" s="9" t="str">
        <f>CONCATENATE($J$30,"/",B31)</f>
        <v>/insurancesResponse/data/insurances/insured/typeIdentification</v>
      </c>
    </row>
    <row r="32" spans="2:10" ht="29">
      <c r="B32" s="20" t="s">
        <v>117</v>
      </c>
      <c r="C32" s="14" t="s">
        <v>118</v>
      </c>
      <c r="D32" s="14" t="s">
        <v>39</v>
      </c>
      <c r="E32" s="14" t="s">
        <v>40</v>
      </c>
      <c r="F32" s="11" t="s">
        <v>41</v>
      </c>
      <c r="G32" s="11" t="s">
        <v>42</v>
      </c>
      <c r="H32" s="11" t="s">
        <v>43</v>
      </c>
      <c r="I32" s="19" t="s">
        <v>119</v>
      </c>
      <c r="J32" s="9" t="str">
        <f t="shared" ref="J32:J33" si="1">CONCATENATE($J$30,"/",B32)</f>
        <v>/insurancesResponse/data/insurances/insured/numberIdentification</v>
      </c>
    </row>
    <row r="33" spans="2:10" ht="29">
      <c r="B33" s="20" t="s">
        <v>120</v>
      </c>
      <c r="C33" s="14" t="s">
        <v>121</v>
      </c>
      <c r="D33" s="14" t="s">
        <v>47</v>
      </c>
      <c r="E33" s="14" t="s">
        <v>40</v>
      </c>
      <c r="F33" s="11" t="s">
        <v>41</v>
      </c>
      <c r="G33" s="11" t="s">
        <v>42</v>
      </c>
      <c r="H33" s="11" t="s">
        <v>122</v>
      </c>
      <c r="I33" s="19" t="s">
        <v>123</v>
      </c>
      <c r="J33" s="9" t="str">
        <f t="shared" si="1"/>
        <v>/insurancesResponse/data/insurances/insured/nameOrSocialReason</v>
      </c>
    </row>
    <row r="34" spans="2:10">
      <c r="B34" s="17" t="s">
        <v>124</v>
      </c>
      <c r="C34" s="14" t="s">
        <v>125</v>
      </c>
      <c r="D34" s="14" t="s">
        <v>110</v>
      </c>
      <c r="E34" s="14" t="s">
        <v>126</v>
      </c>
      <c r="F34" s="11" t="s">
        <v>41</v>
      </c>
      <c r="G34" s="11" t="s">
        <v>42</v>
      </c>
      <c r="H34" s="11"/>
      <c r="I34" s="19"/>
      <c r="J34" s="9" t="str">
        <f>CONCATENATE($J$15,"/",B34)</f>
        <v>/insurancesResponse/data/insurances/contractHolder</v>
      </c>
    </row>
    <row r="35" spans="2:10" ht="29">
      <c r="B35" s="20" t="s">
        <v>112</v>
      </c>
      <c r="C35" s="14" t="s">
        <v>127</v>
      </c>
      <c r="D35" s="14" t="s">
        <v>114</v>
      </c>
      <c r="E35" s="14" t="s">
        <v>40</v>
      </c>
      <c r="F35" s="11" t="s">
        <v>41</v>
      </c>
      <c r="G35" s="11" t="s">
        <v>42</v>
      </c>
      <c r="H35" s="11" t="s">
        <v>115</v>
      </c>
      <c r="I35" s="19" t="s">
        <v>128</v>
      </c>
      <c r="J35" s="9" t="str">
        <f>CONCATENATE($J$34,"/",B35)</f>
        <v>/insurancesResponse/data/insurances/contractHolder/typeIdentification</v>
      </c>
    </row>
    <row r="36" spans="2:10" ht="29">
      <c r="B36" s="20" t="s">
        <v>117</v>
      </c>
      <c r="C36" s="14" t="s">
        <v>129</v>
      </c>
      <c r="D36" s="14" t="s">
        <v>39</v>
      </c>
      <c r="E36" s="14" t="s">
        <v>40</v>
      </c>
      <c r="F36" s="11" t="s">
        <v>41</v>
      </c>
      <c r="G36" s="11" t="s">
        <v>42</v>
      </c>
      <c r="H36" s="11" t="s">
        <v>130</v>
      </c>
      <c r="I36" s="19" t="s">
        <v>131</v>
      </c>
      <c r="J36" s="9" t="str">
        <f t="shared" ref="J36:J38" si="2">CONCATENATE($J$34,"/",B36)</f>
        <v>/insurancesResponse/data/insurances/contractHolder/numberIdentification</v>
      </c>
    </row>
    <row r="37" spans="2:10" ht="29">
      <c r="B37" s="20" t="s">
        <v>120</v>
      </c>
      <c r="C37" s="14" t="s">
        <v>132</v>
      </c>
      <c r="D37" s="14" t="s">
        <v>47</v>
      </c>
      <c r="E37" s="14" t="s">
        <v>40</v>
      </c>
      <c r="F37" s="11" t="s">
        <v>41</v>
      </c>
      <c r="G37" s="11" t="s">
        <v>42</v>
      </c>
      <c r="H37" s="11" t="s">
        <v>133</v>
      </c>
      <c r="I37" s="19" t="s">
        <v>134</v>
      </c>
      <c r="J37" s="9" t="str">
        <f t="shared" si="2"/>
        <v>/insurancesResponse/data/insurances/contractHolder/nameOrSocialReason</v>
      </c>
    </row>
    <row r="38" spans="2:10">
      <c r="B38" s="17" t="s">
        <v>135</v>
      </c>
      <c r="C38" s="14" t="s">
        <v>136</v>
      </c>
      <c r="D38" s="14" t="s">
        <v>110</v>
      </c>
      <c r="E38" s="14" t="s">
        <v>137</v>
      </c>
      <c r="F38" s="11" t="s">
        <v>19</v>
      </c>
      <c r="G38" s="11" t="s">
        <v>20</v>
      </c>
      <c r="H38" s="11"/>
      <c r="I38" s="19"/>
      <c r="J38" s="9" t="str">
        <f t="shared" si="2"/>
        <v>/insurancesResponse/data/insurances/contractHolder/broker</v>
      </c>
    </row>
    <row r="39" spans="2:10" ht="29">
      <c r="B39" s="20" t="s">
        <v>112</v>
      </c>
      <c r="C39" s="14" t="s">
        <v>138</v>
      </c>
      <c r="D39" s="14" t="s">
        <v>114</v>
      </c>
      <c r="E39" s="14" t="s">
        <v>40</v>
      </c>
      <c r="F39" s="11" t="s">
        <v>19</v>
      </c>
      <c r="G39" s="11" t="s">
        <v>20</v>
      </c>
      <c r="H39" s="11" t="s">
        <v>115</v>
      </c>
      <c r="I39" s="19" t="s">
        <v>139</v>
      </c>
      <c r="J39" s="9" t="str">
        <f>CONCATENATE($J$38,"/",B39)</f>
        <v>/insurancesResponse/data/insurances/contractHolder/broker/typeIdentification</v>
      </c>
    </row>
    <row r="40" spans="2:10" ht="29">
      <c r="B40" s="20" t="s">
        <v>117</v>
      </c>
      <c r="C40" s="14" t="s">
        <v>140</v>
      </c>
      <c r="D40" s="14" t="s">
        <v>39</v>
      </c>
      <c r="E40" s="14" t="s">
        <v>40</v>
      </c>
      <c r="F40" s="11" t="s">
        <v>19</v>
      </c>
      <c r="G40" s="11" t="s">
        <v>20</v>
      </c>
      <c r="H40" s="11" t="s">
        <v>141</v>
      </c>
      <c r="I40" s="19" t="s">
        <v>131</v>
      </c>
      <c r="J40" s="9" t="str">
        <f t="shared" ref="J40:J41" si="3">CONCATENATE($J$38,"/",B40)</f>
        <v>/insurancesResponse/data/insurances/contractHolder/broker/numberIdentification</v>
      </c>
    </row>
    <row r="41" spans="2:10" ht="29">
      <c r="B41" s="20" t="s">
        <v>120</v>
      </c>
      <c r="C41" s="14" t="s">
        <v>142</v>
      </c>
      <c r="D41" s="14" t="s">
        <v>47</v>
      </c>
      <c r="E41" s="14" t="s">
        <v>40</v>
      </c>
      <c r="F41" s="11" t="s">
        <v>19</v>
      </c>
      <c r="G41" s="11" t="s">
        <v>20</v>
      </c>
      <c r="H41" s="11" t="s">
        <v>143</v>
      </c>
      <c r="I41" s="19" t="s">
        <v>144</v>
      </c>
      <c r="J41" s="9" t="str">
        <f t="shared" si="3"/>
        <v>/insurancesResponse/data/insurances/contractHolder/broker/nameOrSocialReason</v>
      </c>
    </row>
    <row r="42" spans="2:10">
      <c r="B42" s="17" t="s">
        <v>145</v>
      </c>
      <c r="C42" s="14" t="s">
        <v>146</v>
      </c>
      <c r="D42" s="14" t="s">
        <v>110</v>
      </c>
      <c r="E42" s="14" t="s">
        <v>40</v>
      </c>
      <c r="F42" s="11" t="s">
        <v>19</v>
      </c>
      <c r="G42" s="11" t="s">
        <v>20</v>
      </c>
      <c r="H42" s="11"/>
      <c r="I42" s="19"/>
      <c r="J42" s="9" t="str">
        <f>CONCATENATE($J$15,"/",B42)</f>
        <v>/insurancesResponse/data/insurances/details</v>
      </c>
    </row>
    <row r="43" spans="2:10" ht="29">
      <c r="B43" s="20" t="s">
        <v>147</v>
      </c>
      <c r="C43" s="14" t="s">
        <v>148</v>
      </c>
      <c r="D43" s="14" t="s">
        <v>149</v>
      </c>
      <c r="E43" s="14" t="s">
        <v>34</v>
      </c>
      <c r="F43" s="11" t="s">
        <v>35</v>
      </c>
      <c r="G43" s="11" t="s">
        <v>20</v>
      </c>
      <c r="H43" s="11"/>
      <c r="I43" s="19" t="s">
        <v>150</v>
      </c>
      <c r="J43" s="9" t="str">
        <f>CONCATENATE($J$42,"/",B43)</f>
        <v>/insurancesResponse/data/insurances/details/policies</v>
      </c>
    </row>
    <row r="44" spans="2:10" ht="29">
      <c r="B44" s="21" t="s">
        <v>151</v>
      </c>
      <c r="C44" s="14" t="s">
        <v>152</v>
      </c>
      <c r="D44" s="14" t="s">
        <v>63</v>
      </c>
      <c r="E44" s="14" t="s">
        <v>40</v>
      </c>
      <c r="F44" s="11" t="s">
        <v>41</v>
      </c>
      <c r="G44" s="11" t="s">
        <v>42</v>
      </c>
      <c r="H44" s="11" t="s">
        <v>153</v>
      </c>
      <c r="I44" s="19" t="s">
        <v>154</v>
      </c>
      <c r="J44" s="9" t="str">
        <f>CONCATENATE($J$43,"/",B44)</f>
        <v>/insurancesResponse/data/insurances/details/policies/code</v>
      </c>
    </row>
    <row r="45" spans="2:10">
      <c r="B45" s="21" t="s">
        <v>155</v>
      </c>
      <c r="C45" s="14" t="s">
        <v>156</v>
      </c>
      <c r="D45" s="14" t="s">
        <v>157</v>
      </c>
      <c r="E45" s="14" t="s">
        <v>40</v>
      </c>
      <c r="F45" s="11" t="s">
        <v>41</v>
      </c>
      <c r="G45" s="11" t="s">
        <v>42</v>
      </c>
      <c r="H45" s="11" t="s">
        <v>158</v>
      </c>
      <c r="I45" s="19" t="s">
        <v>159</v>
      </c>
      <c r="J45" s="9" t="str">
        <f>CONCATENATE($J$43,"/",B45)</f>
        <v>/insurancesResponse/data/insurances/details/policies/branch</v>
      </c>
    </row>
  </sheetData>
  <mergeCells count="1">
    <mergeCell ref="E3:G3"/>
  </mergeCells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224140-C3B7-42F0-9AF9-54CA4478DC27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36CDD3F8-377F-468C-91FC-F94C05F5EC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F7F41A-2D8B-4C5A-A72B-A9606753D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insurances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2025-07-14T19:07:05Z</cp:lastPrinted>
  <dcterms:created xsi:type="dcterms:W3CDTF">2025-06-26T18:24:27Z</dcterms:created>
  <dcterms:modified xsi:type="dcterms:W3CDTF">2025-07-14T19:07:14Z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