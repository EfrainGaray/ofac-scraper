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AD56D695-01A9-46FF-B4C7-DDBF2DFC2352}" xr6:coauthVersionLast="47" xr6:coauthVersionMax="47" xr10:uidLastSave="{00000000-0000-0000-0000-000000000000}"/>
  <bookViews>
    <workbookView xWindow="-110" yWindow="-110" windowWidth="19420" windowHeight="10300" xr2:uid="{4EE0B6CB-2EFC-4699-8AB0-5C901BAF9213}"/>
  </bookViews>
  <sheets>
    <sheet name="insurances-ID" sheetId="1" r:id="rId1"/>
  </sheets>
  <definedNames>
    <definedName name="_xlnm._FilterDatabase" localSheetId="0" hidden="1">'insurances-ID'!$B$11:$J$52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4" i="1" s="1"/>
  <c r="J40" i="1" l="1"/>
  <c r="J28" i="1"/>
  <c r="J16" i="1"/>
  <c r="J26" i="1"/>
  <c r="J32" i="1"/>
  <c r="J19" i="1"/>
  <c r="J18" i="1"/>
  <c r="J17" i="1"/>
  <c r="J27" i="1"/>
  <c r="J15" i="1"/>
  <c r="J25" i="1"/>
  <c r="J36" i="1"/>
  <c r="J24" i="1"/>
  <c r="J22" i="1"/>
  <c r="J21" i="1"/>
  <c r="J20" i="1"/>
  <c r="J23" i="1"/>
  <c r="J29" i="1" l="1"/>
  <c r="J30" i="1"/>
  <c r="J31" i="1"/>
  <c r="J38" i="1"/>
  <c r="J39" i="1"/>
  <c r="J37" i="1"/>
  <c r="J34" i="1"/>
  <c r="J33" i="1"/>
  <c r="J35" i="1"/>
  <c r="J41" i="1"/>
  <c r="J47" i="1"/>
  <c r="J42" i="1" l="1"/>
  <c r="J45" i="1"/>
  <c r="J44" i="1"/>
  <c r="J46" i="1"/>
  <c r="J43" i="1"/>
  <c r="J52" i="1"/>
  <c r="J51" i="1"/>
  <c r="J50" i="1"/>
  <c r="J49" i="1"/>
  <c r="J48" i="1"/>
</calcChain>
</file>

<file path=xl/sharedStrings.xml><?xml version="1.0" encoding="utf-8"?>
<sst xmlns="http://schemas.openxmlformats.org/spreadsheetml/2006/main" count="330" uniqueCount="175">
  <si>
    <t>API:</t>
  </si>
  <si>
    <t>Recurso: GET</t>
  </si>
  <si>
    <t xml:space="preserve"> /insurances/v1/insurance/{insurance-id}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</si>
  <si>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</si>
  <si>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</si>
  <si>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</si>
  <si>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</si>
  <si>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</si>
  <si>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</si>
  <si>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</si>
  <si>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</si>
  <si>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</si>
  <si>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</si>
  <si>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insurance-id</t>
  </si>
  <si>
    <t>Identificador del seguro</t>
  </si>
  <si>
    <t>Query Param</t>
  </si>
  <si>
    <t>Max40Text</t>
  </si>
  <si>
    <t>string</t>
  </si>
  <si>
    <t>[0..1]</t>
  </si>
  <si>
    <t>Si</t>
  </si>
  <si>
    <t>POL98765</t>
  </si>
  <si>
    <t>Identificador de la póliza de seguro</t>
  </si>
  <si>
    <t>Response:</t>
  </si>
  <si>
    <t>Name</t>
  </si>
  <si>
    <t>Glosa Field Name</t>
  </si>
  <si>
    <t>Path</t>
  </si>
  <si>
    <t>insuranceResponse</t>
  </si>
  <si>
    <t>Objeto principal</t>
  </si>
  <si>
    <t>-</t>
  </si>
  <si>
    <t>object</t>
  </si>
  <si>
    <t>[1..1]</t>
  </si>
  <si>
    <t>Sí</t>
  </si>
  <si>
    <t>data</t>
  </si>
  <si>
    <t>Response: Raíz de la respuesta que agrupa la póliza devuelta por GET /insurances/{insuranceId}.</t>
  </si>
  <si>
    <t>insurance</t>
  </si>
  <si>
    <t>Póliza solicitada</t>
  </si>
  <si>
    <t>InsuranceType (objeto)</t>
  </si>
  <si>
    <t>Response: Objeto con la póliza (un solo registro en vez de un array).</t>
  </si>
  <si>
    <t>companyRut</t>
  </si>
  <si>
    <t>RUT de la compañía que responde</t>
  </si>
  <si>
    <t>RUTType</t>
  </si>
  <si>
    <t>"11111111-1"</t>
  </si>
  <si>
    <t>RUT de la aseguradora que emite la información.</t>
  </si>
  <si>
    <t>companyName</t>
  </si>
  <si>
    <t>Razón Social de la Compañía</t>
  </si>
  <si>
    <t>Max140Text</t>
  </si>
  <si>
    <t>"Aseguradora XX"</t>
  </si>
  <si>
    <t>Nombre o razón social de la aseguradora.</t>
  </si>
  <si>
    <t>group</t>
  </si>
  <si>
    <t>Grupo al que pertenece la entidad</t>
  </si>
  <si>
    <t>GroupType</t>
  </si>
  <si>
    <t>No</t>
  </si>
  <si>
    <t>"VIDA"</t>
  </si>
  <si>
    <t>Posibles valores: “VIDA”, “GENERALES”.</t>
  </si>
  <si>
    <t>informationCloseDate</t>
  </si>
  <si>
    <t>Fecha de cierre de la información</t>
  </si>
  <si>
    <t>ISODate</t>
  </si>
  <si>
    <t>string (date)</t>
  </si>
  <si>
    <t>"2025-01-31"</t>
  </si>
  <si>
    <t>Fecha en la que la aseguradora actualizó la data en sus sistemas (YYYY/MM/DD).</t>
  </si>
  <si>
    <t>policyNumberInternal</t>
  </si>
  <si>
    <t>Número interno de la póliza</t>
  </si>
  <si>
    <t>"POL98765"</t>
  </si>
  <si>
    <t>ID interno (contratual) de la póliza.</t>
  </si>
  <si>
    <t>policyStatus</t>
  </si>
  <si>
    <t>Estado de la póliza</t>
  </si>
  <si>
    <t>PolicyStatusCode</t>
  </si>
  <si>
    <t>"VIGENTE"</t>
  </si>
  <si>
    <t>Ej. “VIGENTE”, “NO_VIGENTE_CON_OBLIGACIONES_VIGENTES”.</t>
  </si>
  <si>
    <t>policyCollectiveOrIndividual</t>
  </si>
  <si>
    <t>Indica si es Colectiva o Individual</t>
  </si>
  <si>
    <t>CollectiveTypeCode</t>
  </si>
  <si>
    <t>"COLECTIVO"</t>
  </si>
  <si>
    <t>“INDIVIDUAL” o “COLECTIVO”.</t>
  </si>
  <si>
    <t>startDateCollective</t>
  </si>
  <si>
    <t>Fecha inicio vigencia (colectiva)</t>
  </si>
  <si>
    <t>"2025-01-01"</t>
  </si>
  <si>
    <t>Solo se informa si es colectiva.</t>
  </si>
  <si>
    <t>noEndDateCollective</t>
  </si>
  <si>
    <t>¿Sin fecha término colectiva?</t>
  </si>
  <si>
    <t>YesNoIndicator</t>
  </si>
  <si>
    <t>"SI"</t>
  </si>
  <si>
    <t>“SI” si no existe fecha término; “NO” en caso contrario.</t>
  </si>
  <si>
    <t>endDateCollective</t>
  </si>
  <si>
    <t>Fecha término vigencia colectiva</t>
  </si>
  <si>
    <t>"2025-12-31"</t>
  </si>
  <si>
    <t>Solo se informa si es colectiva. Formato YYYY/MM/DD.</t>
  </si>
  <si>
    <t>currentPremium</t>
  </si>
  <si>
    <t>Prima vigente</t>
  </si>
  <si>
    <t>Amount</t>
  </si>
  <si>
    <t>number</t>
  </si>
  <si>
    <t>Monto que el asegurado está pagando actualmente como prima.</t>
  </si>
  <si>
    <t>premiumPeriodicity</t>
  </si>
  <si>
    <t>Periodicidad de la prima</t>
  </si>
  <si>
    <t>FrequencyCode</t>
  </si>
  <si>
    <t>"MONTH"</t>
  </si>
  <si>
    <t>“MONTH”, “YEAR”, etc.</t>
  </si>
  <si>
    <t>premiumPaymentFrequency</t>
  </si>
  <si>
    <t>Frecuencia del pago de la prima</t>
  </si>
  <si>
    <t>"MONTHLY"</t>
  </si>
  <si>
    <t>Indica la frecuencia del pago.</t>
  </si>
  <si>
    <t>insured</t>
  </si>
  <si>
    <t>typeIdentification</t>
  </si>
  <si>
    <t>Tipo de identificador del asegurado</t>
  </si>
  <si>
    <t>IdentificationCode</t>
  </si>
  <si>
    <t>"RUT"</t>
  </si>
  <si>
    <t>Se indica “RUT”.</t>
  </si>
  <si>
    <t>numberIdentification</t>
  </si>
  <si>
    <t>Número identificador del asegurado</t>
  </si>
  <si>
    <t>Formato NNNNNNNN-K.</t>
  </si>
  <si>
    <t>nameOrSocialReason</t>
  </si>
  <si>
    <t>Nombre / Razón Social del asegurado</t>
  </si>
  <si>
    <t>"Juan Pérez"</t>
  </si>
  <si>
    <t>En caso de SOAP, usar “ASEGURADOS SOAP”.</t>
  </si>
  <si>
    <t>contractHolder</t>
  </si>
  <si>
    <t>Tipo identificador del contratante</t>
  </si>
  <si>
    <t>“RUT” en Chile.</t>
  </si>
  <si>
    <t>Número identificador del contratante</t>
  </si>
  <si>
    <t>"22222222-2"</t>
  </si>
  <si>
    <t>Nombre / Razón Social del contratante</t>
  </si>
  <si>
    <t>"Empresa ABC"</t>
  </si>
  <si>
    <t>Pueden ser iguales a los del asegurado si es la misma persona.</t>
  </si>
  <si>
    <t>broker</t>
  </si>
  <si>
    <t>Tipo de ID del corredor/asesor</t>
  </si>
  <si>
    <t>Solo se informa si existe corredor/asesor.</t>
  </si>
  <si>
    <t>Número identificador corredor/asesor</t>
  </si>
  <si>
    <t>"33333333-3"</t>
  </si>
  <si>
    <t>Nombre / Razón Social del corredor</t>
  </si>
  <si>
    <t>"Corredor XYZ"</t>
  </si>
  <si>
    <t>Razón social o nombre completo del corredor/asesor.</t>
  </si>
  <si>
    <t>details</t>
  </si>
  <si>
    <t>objeto detalle</t>
  </si>
  <si>
    <t>[0..*]</t>
  </si>
  <si>
    <t>policies</t>
  </si>
  <si>
    <t>Pólizas del contrato (CMF)</t>
  </si>
  <si>
    <t>Array&lt;PolicyItem&gt;</t>
  </si>
  <si>
    <t>array&lt;object&gt;</t>
  </si>
  <si>
    <t>Lista de pólizas depositadas en la CMF vinculadas a la póliza principal.</t>
  </si>
  <si>
    <t>code</t>
  </si>
  <si>
    <t>Código póliza (POLXXXX)</t>
  </si>
  <si>
    <t>"POL00123456"</t>
  </si>
  <si>
    <t>Código depositado en la CMF.</t>
  </si>
  <si>
    <t>branch</t>
  </si>
  <si>
    <t>Ramo (Circular N°2022)</t>
  </si>
  <si>
    <t>Max70Text</t>
  </si>
  <si>
    <t>"Vida Individual"</t>
  </si>
  <si>
    <t>Ramo de la póliza según la circular 2022.</t>
  </si>
  <si>
    <t>startDateCoverage</t>
  </si>
  <si>
    <t>Fecha inicio vigencia de cobertura</t>
  </si>
  <si>
    <t>"2025-02-01"</t>
  </si>
  <si>
    <t>Para la cobertura individual o colectiva del asegurado.</t>
  </si>
  <si>
    <t>noEndDateCoverage</t>
  </si>
  <si>
    <t>Sin fecha término cobertura</t>
  </si>
  <si>
    <t>"NO"</t>
  </si>
  <si>
    <t>“SI” si no hay fecha término (renta vitalicia); “NO” en caso contrario.</t>
  </si>
  <si>
    <t>endDateCoverage</t>
  </si>
  <si>
    <t>Fecha término vigencia cobertura</t>
  </si>
  <si>
    <t>Formato YYYY/MM/DD.</t>
  </si>
  <si>
    <t>clauses</t>
  </si>
  <si>
    <t>Cláusulas (CAD) del contrato</t>
  </si>
  <si>
    <t>Array&lt;ClauseItem&gt;</t>
  </si>
  <si>
    <t>Lista de cláusulas depositadas en la CMF (CADXXXXXXXX).</t>
  </si>
  <si>
    <t>Código cláusula CMF (CADXXXXXX)</t>
  </si>
  <si>
    <t>"CAD0001123"</t>
  </si>
  <si>
    <t>Ejemplo “CADXXXXXXXXX”.</t>
  </si>
  <si>
    <t>"Generales"</t>
  </si>
  <si>
    <t>Ramo de la cláusula.</t>
  </si>
  <si>
    <t>Fecha inicio vigencia de la cobertura en cláusula</t>
  </si>
  <si>
    <t>"2025-03-01"</t>
  </si>
  <si>
    <t>Inicio de la cobertura individual en la cláusula.</t>
  </si>
  <si>
    <t>Sin fecha término en la cláusula?</t>
  </si>
  <si>
    <t>“SI” si no hay fecha término (p.ej. no es a plazo fijo); “NO” en caso contrario.</t>
  </si>
  <si>
    <t>Fecha término vigencia cobertura cláusula</t>
  </si>
  <si>
    <t>"2026-03-01"</t>
  </si>
  <si>
    <t>Fecha fin de cobertura en la cláusula, si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</si>
</sst>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3"/>
    </xf>
    <xf numFmtId="0" fontId="0" fillId="0" borderId="3" xfId="0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5"/>
    </xf>
  </cellXfs>
  <cellStyles count="3">
    <cellStyle name="Fecha" xfId="2" xr:uid="{0D878B1C-EDEB-4A15-B232-33C50BBE86F6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1382</xdr:colOff>
      <xdr:row>1</xdr:row>
      <xdr:rowOff>94502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06C1CA9-9F6C-47B2-B11A-0B2B4D6F0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084" y="0"/>
          <a:ext cx="1925449" cy="989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239994</xdr:rowOff>
    </xdr:from>
    <xdr:to>
      <xdr:col>1</xdr:col>
      <xdr:colOff>2408591</xdr:colOff>
      <xdr:row>0</xdr:row>
      <xdr:rowOff>648533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CBC55-9F5C-43C2-A561-29E139566E7F}"/>
            </a:ext>
            <a:ext uri="{147F2762-F138-4A5C-976F-8EAC2B608ADB}">
              <a16:predDERef xmlns:a16="http://schemas.microsoft.com/office/drawing/2014/main" pred="{ACD651F9-4AEC-47DD-8A03-086ECCAD5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39994"/>
          <a:ext cx="238954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8A1-5003-4938-82FF-1AADD2DA60A5}">
  <dimension ref="B1:J52"/>
  <sheetViews>
    <sheetView showGridLines="0" tabSelected="1" zoomScale="85" zoomScaleNormal="85" workbookViewId="0">
      <selection activeCell="C14" sqref="C14"/>
    </sheetView>
  </sheetViews>
  <sheetFormatPr baseColWidth="10" defaultColWidth="11.26953125" defaultRowHeight="14.5"/>
  <cols>
    <col min="1" max="1" width="6.7265625" customWidth="1"/>
    <col min="2" max="2" width="39.7265625" customWidth="1"/>
    <col min="3" max="3" width="24" bestFit="1" customWidth="1"/>
    <col min="4" max="4" width="27.54296875" customWidth="1"/>
    <col min="5" max="5" width="19.7265625" bestFit="1" customWidth="1"/>
    <col min="6" max="6" width="15.453125" style="2" customWidth="1"/>
    <col min="7" max="7" width="13.7265625" customWidth="1"/>
    <col min="8" max="8" width="20.7265625" bestFit="1" customWidth="1"/>
    <col min="9" max="9" width="69.7265625" customWidth="1"/>
    <col min="10" max="10" width="75.5429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E2" s="4"/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11" t="s">
        <v>20</v>
      </c>
      <c r="J6" s="12" t="s">
        <v>21</v>
      </c>
    </row>
    <row r="7" spans="2:10">
      <c r="B7" s="7"/>
      <c r="C7" s="8"/>
      <c r="D7" s="8"/>
      <c r="E7" s="9"/>
      <c r="F7" s="9"/>
      <c r="G7" s="10"/>
      <c r="H7" s="10"/>
      <c r="I7" s="11"/>
      <c r="J7" s="12"/>
    </row>
    <row r="9" spans="2:10" ht="21">
      <c r="B9" s="3" t="s">
        <v>22</v>
      </c>
    </row>
    <row r="10" spans="2:10" ht="18.75" customHeight="1">
      <c r="B10" s="3"/>
    </row>
    <row r="11" spans="2:10">
      <c r="B11" s="13" t="s">
        <v>23</v>
      </c>
      <c r="C11" s="14" t="s">
        <v>24</v>
      </c>
      <c r="D11" s="14" t="s">
        <v>7</v>
      </c>
      <c r="E11" s="13" t="s">
        <v>8</v>
      </c>
      <c r="F11" s="13" t="s">
        <v>9</v>
      </c>
      <c r="G11" s="13" t="s">
        <v>10</v>
      </c>
      <c r="H11" s="13" t="s">
        <v>11</v>
      </c>
      <c r="I11" s="13" t="s">
        <v>12</v>
      </c>
      <c r="J11" s="13" t="s">
        <v>25</v>
      </c>
    </row>
    <row r="12" spans="2:10">
      <c r="B12" s="15" t="s">
        <v>26</v>
      </c>
      <c r="C12" s="16" t="s">
        <v>27</v>
      </c>
      <c r="D12" s="16" t="s">
        <v>28</v>
      </c>
      <c r="E12" s="16" t="s">
        <v>29</v>
      </c>
      <c r="F12" s="17" t="s">
        <v>30</v>
      </c>
      <c r="G12" s="17" t="s">
        <v>31</v>
      </c>
      <c r="H12" s="17"/>
      <c r="I12" s="18"/>
      <c r="J12" s="19" t="str">
        <f>CONCATENATE("/",B12)</f>
        <v>/insuranceResponse</v>
      </c>
    </row>
    <row r="13" spans="2:10" ht="29">
      <c r="B13" s="20" t="s">
        <v>32</v>
      </c>
      <c r="C13" s="16" t="s">
        <v>27</v>
      </c>
      <c r="D13" s="16" t="s">
        <v>28</v>
      </c>
      <c r="E13" s="16" t="s">
        <v>29</v>
      </c>
      <c r="F13" s="17" t="s">
        <v>30</v>
      </c>
      <c r="G13" s="17" t="s">
        <v>31</v>
      </c>
      <c r="H13" s="17"/>
      <c r="I13" s="18" t="s">
        <v>33</v>
      </c>
      <c r="J13" s="19" t="str">
        <f>CONCATENATE(J12,"/",B13)</f>
        <v>/insuranceResponse/data</v>
      </c>
    </row>
    <row r="14" spans="2:10">
      <c r="B14" s="21" t="s">
        <v>34</v>
      </c>
      <c r="C14" s="16" t="s">
        <v>35</v>
      </c>
      <c r="D14" s="16" t="s">
        <v>36</v>
      </c>
      <c r="E14" s="16" t="s">
        <v>29</v>
      </c>
      <c r="F14" s="17" t="s">
        <v>30</v>
      </c>
      <c r="G14" s="17" t="s">
        <v>31</v>
      </c>
      <c r="H14" s="17"/>
      <c r="I14" s="18" t="s">
        <v>37</v>
      </c>
      <c r="J14" s="19" t="str">
        <f>CONCATENATE(J13,"/",B14)</f>
        <v>/insuranceResponse/data/insurance</v>
      </c>
    </row>
    <row r="15" spans="2:10" ht="29">
      <c r="B15" s="22" t="s">
        <v>38</v>
      </c>
      <c r="C15" s="16" t="s">
        <v>39</v>
      </c>
      <c r="D15" s="16" t="s">
        <v>40</v>
      </c>
      <c r="E15" s="16" t="s">
        <v>17</v>
      </c>
      <c r="F15" s="17" t="s">
        <v>30</v>
      </c>
      <c r="G15" s="17" t="s">
        <v>31</v>
      </c>
      <c r="H15" s="17" t="s">
        <v>41</v>
      </c>
      <c r="I15" s="18" t="s">
        <v>42</v>
      </c>
      <c r="J15" s="19" t="str">
        <f>CONCATENATE($J$14,"/",B15)</f>
        <v>/insuranceResponse/data/insurance/companyRut</v>
      </c>
    </row>
    <row r="16" spans="2:10" ht="30.75" customHeight="1">
      <c r="B16" s="22" t="s">
        <v>43</v>
      </c>
      <c r="C16" s="16" t="s">
        <v>44</v>
      </c>
      <c r="D16" s="16" t="s">
        <v>45</v>
      </c>
      <c r="E16" s="16" t="s">
        <v>17</v>
      </c>
      <c r="F16" s="17" t="s">
        <v>30</v>
      </c>
      <c r="G16" s="17" t="s">
        <v>31</v>
      </c>
      <c r="H16" s="17" t="s">
        <v>46</v>
      </c>
      <c r="I16" s="18" t="s">
        <v>47</v>
      </c>
      <c r="J16" s="19" t="str">
        <f t="shared" ref="J16:J28" si="0">CONCATENATE($J$14,"/",B16)</f>
        <v>/insuranceResponse/data/insurance/companyName</v>
      </c>
    </row>
    <row r="17" spans="2:10" ht="29">
      <c r="B17" s="22" t="s">
        <v>48</v>
      </c>
      <c r="C17" s="16" t="s">
        <v>49</v>
      </c>
      <c r="D17" s="16" t="s">
        <v>50</v>
      </c>
      <c r="E17" s="16" t="s">
        <v>17</v>
      </c>
      <c r="F17" s="17" t="s">
        <v>18</v>
      </c>
      <c r="G17" s="17" t="s">
        <v>51</v>
      </c>
      <c r="H17" s="17" t="s">
        <v>52</v>
      </c>
      <c r="I17" s="18" t="s">
        <v>53</v>
      </c>
      <c r="J17" s="19" t="str">
        <f t="shared" si="0"/>
        <v>/insuranceResponse/data/insurance/group</v>
      </c>
    </row>
    <row r="18" spans="2:10" ht="29">
      <c r="B18" s="22" t="s">
        <v>54</v>
      </c>
      <c r="C18" s="23" t="s">
        <v>55</v>
      </c>
      <c r="D18" s="23" t="s">
        <v>56</v>
      </c>
      <c r="E18" s="23" t="s">
        <v>57</v>
      </c>
      <c r="F18" s="17" t="s">
        <v>18</v>
      </c>
      <c r="G18" s="17" t="s">
        <v>51</v>
      </c>
      <c r="H18" s="17" t="s">
        <v>58</v>
      </c>
      <c r="I18" s="18" t="s">
        <v>59</v>
      </c>
      <c r="J18" s="19" t="str">
        <f t="shared" si="0"/>
        <v>/insuranceResponse/data/insurance/informationCloseDate</v>
      </c>
    </row>
    <row r="19" spans="2:10">
      <c r="B19" s="22" t="s">
        <v>60</v>
      </c>
      <c r="C19" s="18" t="s">
        <v>61</v>
      </c>
      <c r="D19" s="18" t="s">
        <v>16</v>
      </c>
      <c r="E19" s="18" t="s">
        <v>17</v>
      </c>
      <c r="F19" s="17" t="s">
        <v>30</v>
      </c>
      <c r="G19" s="17" t="s">
        <v>31</v>
      </c>
      <c r="H19" s="17" t="s">
        <v>62</v>
      </c>
      <c r="I19" s="18" t="s">
        <v>63</v>
      </c>
      <c r="J19" s="19" t="str">
        <f t="shared" si="0"/>
        <v>/insuranceResponse/data/insurance/policyNumberInternal</v>
      </c>
    </row>
    <row r="20" spans="2:10">
      <c r="B20" s="22" t="s">
        <v>64</v>
      </c>
      <c r="C20" s="18" t="s">
        <v>65</v>
      </c>
      <c r="D20" s="18" t="s">
        <v>66</v>
      </c>
      <c r="E20" s="18" t="s">
        <v>17</v>
      </c>
      <c r="F20" s="17" t="s">
        <v>30</v>
      </c>
      <c r="G20" s="17" t="s">
        <v>31</v>
      </c>
      <c r="H20" s="17" t="s">
        <v>67</v>
      </c>
      <c r="I20" s="18" t="s">
        <v>68</v>
      </c>
      <c r="J20" s="19" t="str">
        <f t="shared" si="0"/>
        <v>/insuranceResponse/data/insurance/policyStatus</v>
      </c>
    </row>
    <row r="21" spans="2:10" ht="29">
      <c r="B21" s="22" t="s">
        <v>69</v>
      </c>
      <c r="C21" s="18" t="s">
        <v>70</v>
      </c>
      <c r="D21" s="18" t="s">
        <v>71</v>
      </c>
      <c r="E21" s="18" t="s">
        <v>17</v>
      </c>
      <c r="F21" s="17" t="s">
        <v>18</v>
      </c>
      <c r="G21" s="17" t="s">
        <v>51</v>
      </c>
      <c r="H21" s="17" t="s">
        <v>72</v>
      </c>
      <c r="I21" s="18" t="s">
        <v>73</v>
      </c>
      <c r="J21" s="19" t="str">
        <f t="shared" si="0"/>
        <v>/insuranceResponse/data/insurance/policyCollectiveOrIndividual</v>
      </c>
    </row>
    <row r="22" spans="2:10" ht="29">
      <c r="B22" s="22" t="s">
        <v>74</v>
      </c>
      <c r="C22" s="18" t="s">
        <v>75</v>
      </c>
      <c r="D22" s="18" t="s">
        <v>56</v>
      </c>
      <c r="E22" s="18" t="s">
        <v>57</v>
      </c>
      <c r="F22" s="17" t="s">
        <v>18</v>
      </c>
      <c r="G22" s="17" t="s">
        <v>51</v>
      </c>
      <c r="H22" s="17" t="s">
        <v>76</v>
      </c>
      <c r="I22" s="18" t="s">
        <v>77</v>
      </c>
      <c r="J22" s="19" t="str">
        <f t="shared" si="0"/>
        <v>/insuranceResponse/data/insurance/startDateCollective</v>
      </c>
    </row>
    <row r="23" spans="2:10" ht="29">
      <c r="B23" s="22" t="s">
        <v>78</v>
      </c>
      <c r="C23" s="18" t="s">
        <v>79</v>
      </c>
      <c r="D23" s="18" t="s">
        <v>80</v>
      </c>
      <c r="E23" s="18" t="s">
        <v>17</v>
      </c>
      <c r="F23" s="17" t="s">
        <v>18</v>
      </c>
      <c r="G23" s="17" t="s">
        <v>51</v>
      </c>
      <c r="H23" s="17" t="s">
        <v>81</v>
      </c>
      <c r="I23" s="18" t="s">
        <v>82</v>
      </c>
      <c r="J23" s="19" t="str">
        <f t="shared" si="0"/>
        <v>/insuranceResponse/data/insurance/noEndDateCollective</v>
      </c>
    </row>
    <row r="24" spans="2:10" ht="29">
      <c r="B24" s="22" t="s">
        <v>83</v>
      </c>
      <c r="C24" s="18" t="s">
        <v>84</v>
      </c>
      <c r="D24" s="18" t="s">
        <v>56</v>
      </c>
      <c r="E24" s="18" t="s">
        <v>57</v>
      </c>
      <c r="F24" s="17" t="s">
        <v>18</v>
      </c>
      <c r="G24" s="17" t="s">
        <v>51</v>
      </c>
      <c r="H24" s="17" t="s">
        <v>85</v>
      </c>
      <c r="I24" s="18" t="s">
        <v>86</v>
      </c>
      <c r="J24" s="19" t="str">
        <f t="shared" si="0"/>
        <v>/insuranceResponse/data/insurance/endDateCollective</v>
      </c>
    </row>
    <row r="25" spans="2:10">
      <c r="B25" s="22" t="s">
        <v>87</v>
      </c>
      <c r="C25" s="18" t="s">
        <v>88</v>
      </c>
      <c r="D25" s="18" t="s">
        <v>89</v>
      </c>
      <c r="E25" s="18" t="s">
        <v>90</v>
      </c>
      <c r="F25" s="17" t="s">
        <v>18</v>
      </c>
      <c r="G25" s="17" t="s">
        <v>51</v>
      </c>
      <c r="H25" s="17">
        <v>25000</v>
      </c>
      <c r="I25" s="18" t="s">
        <v>91</v>
      </c>
      <c r="J25" s="19" t="str">
        <f t="shared" si="0"/>
        <v>/insuranceResponse/data/insurance/currentPremium</v>
      </c>
    </row>
    <row r="26" spans="2:10">
      <c r="B26" s="22" t="s">
        <v>92</v>
      </c>
      <c r="C26" s="18" t="s">
        <v>93</v>
      </c>
      <c r="D26" s="18" t="s">
        <v>94</v>
      </c>
      <c r="E26" s="18" t="s">
        <v>17</v>
      </c>
      <c r="F26" s="17" t="s">
        <v>18</v>
      </c>
      <c r="G26" s="17" t="s">
        <v>51</v>
      </c>
      <c r="H26" s="17" t="s">
        <v>95</v>
      </c>
      <c r="I26" s="18" t="s">
        <v>96</v>
      </c>
      <c r="J26" s="19" t="str">
        <f t="shared" si="0"/>
        <v>/insuranceResponse/data/insurance/premiumPeriodicity</v>
      </c>
    </row>
    <row r="27" spans="2:10" ht="29">
      <c r="B27" s="22" t="s">
        <v>97</v>
      </c>
      <c r="C27" s="18" t="s">
        <v>98</v>
      </c>
      <c r="D27" s="18" t="s">
        <v>94</v>
      </c>
      <c r="E27" s="18" t="s">
        <v>17</v>
      </c>
      <c r="F27" s="17" t="s">
        <v>18</v>
      </c>
      <c r="G27" s="17" t="s">
        <v>51</v>
      </c>
      <c r="H27" s="17" t="s">
        <v>99</v>
      </c>
      <c r="I27" s="18" t="s">
        <v>100</v>
      </c>
      <c r="J27" s="19" t="str">
        <f t="shared" si="0"/>
        <v>/insuranceResponse/data/insurance/premiumPaymentFrequency</v>
      </c>
    </row>
    <row r="28" spans="2:10">
      <c r="B28" s="22" t="s">
        <v>101</v>
      </c>
      <c r="C28" s="18"/>
      <c r="D28" s="18"/>
      <c r="E28" s="18"/>
      <c r="F28" s="17"/>
      <c r="G28" s="17"/>
      <c r="H28" s="17"/>
      <c r="I28" s="18"/>
      <c r="J28" s="19" t="str">
        <f t="shared" si="0"/>
        <v>/insuranceResponse/data/insurance/insured</v>
      </c>
    </row>
    <row r="29" spans="2:10" ht="29">
      <c r="B29" s="24" t="s">
        <v>102</v>
      </c>
      <c r="C29" s="18" t="s">
        <v>103</v>
      </c>
      <c r="D29" s="18" t="s">
        <v>104</v>
      </c>
      <c r="E29" s="18" t="s">
        <v>17</v>
      </c>
      <c r="F29" s="17" t="s">
        <v>30</v>
      </c>
      <c r="G29" s="17" t="s">
        <v>31</v>
      </c>
      <c r="H29" s="17" t="s">
        <v>105</v>
      </c>
      <c r="I29" s="18" t="s">
        <v>106</v>
      </c>
      <c r="J29" s="19" t="str">
        <f>CONCATENATE($J$28,"/",B29)</f>
        <v>/insuranceResponse/data/insurance/insured/typeIdentification</v>
      </c>
    </row>
    <row r="30" spans="2:10" ht="29">
      <c r="B30" s="24" t="s">
        <v>107</v>
      </c>
      <c r="C30" s="18" t="s">
        <v>108</v>
      </c>
      <c r="D30" s="18" t="s">
        <v>40</v>
      </c>
      <c r="E30" s="18" t="s">
        <v>17</v>
      </c>
      <c r="F30" s="17" t="s">
        <v>30</v>
      </c>
      <c r="G30" s="17" t="s">
        <v>31</v>
      </c>
      <c r="H30" s="17" t="s">
        <v>41</v>
      </c>
      <c r="I30" s="18" t="s">
        <v>109</v>
      </c>
      <c r="J30" s="19" t="str">
        <f t="shared" ref="J30:J31" si="1">CONCATENATE($J$28,"/",B30)</f>
        <v>/insuranceResponse/data/insurance/insured/numberIdentification</v>
      </c>
    </row>
    <row r="31" spans="2:10" ht="29">
      <c r="B31" s="24" t="s">
        <v>110</v>
      </c>
      <c r="C31" s="18" t="s">
        <v>111</v>
      </c>
      <c r="D31" s="18" t="s">
        <v>45</v>
      </c>
      <c r="E31" s="18" t="s">
        <v>17</v>
      </c>
      <c r="F31" s="17" t="s">
        <v>30</v>
      </c>
      <c r="G31" s="17" t="s">
        <v>31</v>
      </c>
      <c r="H31" s="17" t="s">
        <v>112</v>
      </c>
      <c r="I31" s="18" t="s">
        <v>113</v>
      </c>
      <c r="J31" s="19" t="str">
        <f t="shared" si="1"/>
        <v>/insuranceResponse/data/insurance/insured/nameOrSocialReason</v>
      </c>
    </row>
    <row r="32" spans="2:10">
      <c r="B32" s="22" t="s">
        <v>114</v>
      </c>
      <c r="C32" s="18"/>
      <c r="D32" s="18"/>
      <c r="E32" s="18"/>
      <c r="F32" s="17"/>
      <c r="G32" s="17"/>
      <c r="H32" s="17"/>
      <c r="I32" s="18"/>
      <c r="J32" s="19" t="str">
        <f>CONCATENATE($J$14,"/",B32)</f>
        <v>/insuranceResponse/data/insurance/contractHolder</v>
      </c>
    </row>
    <row r="33" spans="2:10" ht="29">
      <c r="B33" s="24" t="s">
        <v>102</v>
      </c>
      <c r="C33" s="18" t="s">
        <v>115</v>
      </c>
      <c r="D33" s="18" t="s">
        <v>104</v>
      </c>
      <c r="E33" s="18" t="s">
        <v>17</v>
      </c>
      <c r="F33" s="17" t="s">
        <v>30</v>
      </c>
      <c r="G33" s="17" t="s">
        <v>31</v>
      </c>
      <c r="H33" s="17" t="s">
        <v>105</v>
      </c>
      <c r="I33" s="18" t="s">
        <v>116</v>
      </c>
      <c r="J33" s="19" t="str">
        <f>CONCATENATE($J$32,"/",B33)</f>
        <v>/insuranceResponse/data/insurance/contractHolder/typeIdentification</v>
      </c>
    </row>
    <row r="34" spans="2:10" ht="29">
      <c r="B34" s="24" t="s">
        <v>107</v>
      </c>
      <c r="C34" s="18" t="s">
        <v>117</v>
      </c>
      <c r="D34" s="18" t="s">
        <v>40</v>
      </c>
      <c r="E34" s="18" t="s">
        <v>17</v>
      </c>
      <c r="F34" s="17" t="s">
        <v>30</v>
      </c>
      <c r="G34" s="17" t="s">
        <v>31</v>
      </c>
      <c r="H34" s="17" t="s">
        <v>118</v>
      </c>
      <c r="I34" s="18" t="s">
        <v>109</v>
      </c>
      <c r="J34" s="19" t="str">
        <f t="shared" ref="J34:J35" si="2">CONCATENATE($J$32,"/",B34)</f>
        <v>/insuranceResponse/data/insurance/contractHolder/numberIdentification</v>
      </c>
    </row>
    <row r="35" spans="2:10" ht="29">
      <c r="B35" s="24" t="s">
        <v>110</v>
      </c>
      <c r="C35" s="18" t="s">
        <v>119</v>
      </c>
      <c r="D35" s="18" t="s">
        <v>45</v>
      </c>
      <c r="E35" s="18" t="s">
        <v>17</v>
      </c>
      <c r="F35" s="17" t="s">
        <v>30</v>
      </c>
      <c r="G35" s="18" t="s">
        <v>31</v>
      </c>
      <c r="H35" s="17" t="s">
        <v>120</v>
      </c>
      <c r="I35" s="18" t="s">
        <v>121</v>
      </c>
      <c r="J35" s="19" t="str">
        <f t="shared" si="2"/>
        <v>/insuranceResponse/data/insurance/contractHolder/nameOrSocialReason</v>
      </c>
    </row>
    <row r="36" spans="2:10">
      <c r="B36" s="22" t="s">
        <v>122</v>
      </c>
      <c r="C36" s="18"/>
      <c r="D36" s="18"/>
      <c r="E36" s="18"/>
      <c r="F36" s="17"/>
      <c r="G36" s="18"/>
      <c r="H36" s="17"/>
      <c r="I36" s="18"/>
      <c r="J36" s="19" t="str">
        <f>CONCATENATE($J$14,"/",B36)</f>
        <v>/insuranceResponse/data/insurance/broker</v>
      </c>
    </row>
    <row r="37" spans="2:10" ht="29">
      <c r="B37" s="24" t="s">
        <v>102</v>
      </c>
      <c r="C37" s="18" t="s">
        <v>123</v>
      </c>
      <c r="D37" s="18" t="s">
        <v>104</v>
      </c>
      <c r="E37" s="18" t="s">
        <v>17</v>
      </c>
      <c r="F37" s="17" t="s">
        <v>18</v>
      </c>
      <c r="G37" s="18" t="s">
        <v>51</v>
      </c>
      <c r="H37" s="17" t="s">
        <v>105</v>
      </c>
      <c r="I37" s="18" t="s">
        <v>124</v>
      </c>
      <c r="J37" s="19" t="str">
        <f>CONCATENATE($J$36,"/",B37)</f>
        <v>/insuranceResponse/data/insurance/broker/typeIdentification</v>
      </c>
    </row>
    <row r="38" spans="2:10" ht="29">
      <c r="B38" s="24" t="s">
        <v>107</v>
      </c>
      <c r="C38" s="18" t="s">
        <v>125</v>
      </c>
      <c r="D38" s="18" t="s">
        <v>40</v>
      </c>
      <c r="E38" s="18" t="s">
        <v>17</v>
      </c>
      <c r="F38" s="17" t="s">
        <v>18</v>
      </c>
      <c r="G38" s="18" t="s">
        <v>51</v>
      </c>
      <c r="H38" s="17" t="s">
        <v>126</v>
      </c>
      <c r="I38" s="18" t="s">
        <v>109</v>
      </c>
      <c r="J38" s="19" t="str">
        <f t="shared" ref="J38:J39" si="3">CONCATENATE($J$36,"/",B38)</f>
        <v>/insuranceResponse/data/insurance/broker/numberIdentification</v>
      </c>
    </row>
    <row r="39" spans="2:10" ht="29">
      <c r="B39" s="24" t="s">
        <v>110</v>
      </c>
      <c r="C39" s="18" t="s">
        <v>127</v>
      </c>
      <c r="D39" s="18" t="s">
        <v>45</v>
      </c>
      <c r="E39" s="18" t="s">
        <v>17</v>
      </c>
      <c r="F39" s="17" t="s">
        <v>18</v>
      </c>
      <c r="G39" s="18" t="s">
        <v>51</v>
      </c>
      <c r="H39" s="17" t="s">
        <v>128</v>
      </c>
      <c r="I39" s="18" t="s">
        <v>129</v>
      </c>
      <c r="J39" s="19" t="str">
        <f t="shared" si="3"/>
        <v>/insuranceResponse/data/insurance/broker/nameOrSocialReason</v>
      </c>
    </row>
    <row r="40" spans="2:10">
      <c r="B40" s="22" t="s">
        <v>130</v>
      </c>
      <c r="C40" s="18" t="s">
        <v>131</v>
      </c>
      <c r="D40" s="18" t="s">
        <v>29</v>
      </c>
      <c r="E40" s="18" t="s">
        <v>29</v>
      </c>
      <c r="F40" s="17" t="s">
        <v>132</v>
      </c>
      <c r="G40" s="18" t="s">
        <v>51</v>
      </c>
      <c r="H40" s="17"/>
      <c r="I40" s="18"/>
      <c r="J40" s="19" t="str">
        <f>CONCATENATE($J$14,"/",B40)</f>
        <v>/insuranceResponse/data/insurance/details</v>
      </c>
    </row>
    <row r="41" spans="2:10">
      <c r="B41" s="24" t="s">
        <v>133</v>
      </c>
      <c r="C41" s="18" t="s">
        <v>134</v>
      </c>
      <c r="D41" s="18" t="s">
        <v>135</v>
      </c>
      <c r="E41" s="18" t="s">
        <v>136</v>
      </c>
      <c r="F41" s="17" t="s">
        <v>132</v>
      </c>
      <c r="G41" s="18" t="s">
        <v>51</v>
      </c>
      <c r="H41" s="17"/>
      <c r="I41" s="18" t="s">
        <v>137</v>
      </c>
      <c r="J41" s="19" t="str">
        <f>CONCATENATE($J$40,"/",B41)</f>
        <v>/insuranceResponse/data/insurance/details/policies</v>
      </c>
    </row>
    <row r="42" spans="2:10">
      <c r="B42" s="25" t="s">
        <v>138</v>
      </c>
      <c r="C42" s="18" t="s">
        <v>139</v>
      </c>
      <c r="D42" s="18" t="s">
        <v>16</v>
      </c>
      <c r="E42" s="18" t="s">
        <v>17</v>
      </c>
      <c r="F42" s="17" t="s">
        <v>30</v>
      </c>
      <c r="G42" s="18" t="s">
        <v>31</v>
      </c>
      <c r="H42" s="17" t="s">
        <v>140</v>
      </c>
      <c r="I42" s="18" t="s">
        <v>141</v>
      </c>
      <c r="J42" s="19" t="str">
        <f>CONCATENATE($J$41,"/",B42)</f>
        <v>/insuranceResponse/data/insurance/details/policies/code</v>
      </c>
    </row>
    <row r="43" spans="2:10">
      <c r="B43" s="25" t="s">
        <v>142</v>
      </c>
      <c r="C43" s="18" t="s">
        <v>143</v>
      </c>
      <c r="D43" s="18" t="s">
        <v>144</v>
      </c>
      <c r="E43" s="18" t="s">
        <v>17</v>
      </c>
      <c r="F43" s="17" t="s">
        <v>30</v>
      </c>
      <c r="G43" s="18" t="s">
        <v>31</v>
      </c>
      <c r="H43" s="17" t="s">
        <v>145</v>
      </c>
      <c r="I43" s="18" t="s">
        <v>146</v>
      </c>
      <c r="J43" s="19" t="str">
        <f t="shared" ref="J43:J46" si="4">CONCATENATE($J$41,"/",B43)</f>
        <v>/insuranceResponse/data/insurance/details/policies/branch</v>
      </c>
    </row>
    <row r="44" spans="2:10" ht="29">
      <c r="B44" s="25" t="s">
        <v>147</v>
      </c>
      <c r="C44" s="18" t="s">
        <v>148</v>
      </c>
      <c r="D44" s="18" t="s">
        <v>56</v>
      </c>
      <c r="E44" s="18" t="s">
        <v>57</v>
      </c>
      <c r="F44" s="17" t="s">
        <v>30</v>
      </c>
      <c r="G44" s="18" t="s">
        <v>31</v>
      </c>
      <c r="H44" s="17" t="s">
        <v>149</v>
      </c>
      <c r="I44" s="18" t="s">
        <v>150</v>
      </c>
      <c r="J44" s="19" t="str">
        <f t="shared" si="4"/>
        <v>/insuranceResponse/data/insurance/details/policies/startDateCoverage</v>
      </c>
    </row>
    <row r="45" spans="2:10">
      <c r="B45" s="25" t="s">
        <v>151</v>
      </c>
      <c r="C45" s="18" t="s">
        <v>152</v>
      </c>
      <c r="D45" s="18" t="s">
        <v>80</v>
      </c>
      <c r="E45" s="18" t="s">
        <v>17</v>
      </c>
      <c r="F45" s="17" t="s">
        <v>18</v>
      </c>
      <c r="G45" s="18" t="s">
        <v>51</v>
      </c>
      <c r="H45" s="17" t="s">
        <v>153</v>
      </c>
      <c r="I45" s="18" t="s">
        <v>154</v>
      </c>
      <c r="J45" s="19" t="str">
        <f t="shared" si="4"/>
        <v>/insuranceResponse/data/insurance/details/policies/noEndDateCoverage</v>
      </c>
    </row>
    <row r="46" spans="2:10" ht="29">
      <c r="B46" s="25" t="s">
        <v>155</v>
      </c>
      <c r="C46" s="18" t="s">
        <v>156</v>
      </c>
      <c r="D46" s="18" t="s">
        <v>56</v>
      </c>
      <c r="E46" s="18" t="s">
        <v>57</v>
      </c>
      <c r="F46" s="17" t="s">
        <v>18</v>
      </c>
      <c r="G46" s="18" t="s">
        <v>51</v>
      </c>
      <c r="H46" s="17" t="s">
        <v>85</v>
      </c>
      <c r="I46" s="18" t="s">
        <v>157</v>
      </c>
      <c r="J46" s="19" t="str">
        <f t="shared" si="4"/>
        <v>/insuranceResponse/data/insurance/details/policies/endDateCoverage</v>
      </c>
    </row>
    <row r="47" spans="2:10" ht="29">
      <c r="B47" s="24" t="s">
        <v>158</v>
      </c>
      <c r="C47" s="18" t="s">
        <v>159</v>
      </c>
      <c r="D47" s="18" t="s">
        <v>160</v>
      </c>
      <c r="E47" s="18" t="s">
        <v>136</v>
      </c>
      <c r="F47" s="17" t="s">
        <v>132</v>
      </c>
      <c r="G47" s="18" t="s">
        <v>51</v>
      </c>
      <c r="H47" s="17"/>
      <c r="I47" s="18" t="s">
        <v>161</v>
      </c>
      <c r="J47" s="19" t="str">
        <f>CONCATENATE($J$40,"/",B47)</f>
        <v>/insuranceResponse/data/insurance/details/clauses</v>
      </c>
    </row>
    <row r="48" spans="2:10" ht="29">
      <c r="B48" s="25" t="s">
        <v>138</v>
      </c>
      <c r="C48" s="18" t="s">
        <v>162</v>
      </c>
      <c r="D48" s="18" t="s">
        <v>16</v>
      </c>
      <c r="E48" s="18" t="s">
        <v>17</v>
      </c>
      <c r="F48" s="17" t="s">
        <v>30</v>
      </c>
      <c r="G48" s="18" t="s">
        <v>31</v>
      </c>
      <c r="H48" s="17" t="s">
        <v>163</v>
      </c>
      <c r="I48" s="18" t="s">
        <v>164</v>
      </c>
      <c r="J48" s="19" t="str">
        <f>CONCATENATE($J$47,"/",B48)</f>
        <v>/insuranceResponse/data/insurance/details/clauses/code</v>
      </c>
    </row>
    <row r="49" spans="2:10">
      <c r="B49" s="25" t="s">
        <v>142</v>
      </c>
      <c r="C49" s="18" t="s">
        <v>143</v>
      </c>
      <c r="D49" s="18" t="s">
        <v>144</v>
      </c>
      <c r="E49" s="18" t="s">
        <v>17</v>
      </c>
      <c r="F49" s="17" t="s">
        <v>30</v>
      </c>
      <c r="G49" s="18" t="s">
        <v>31</v>
      </c>
      <c r="H49" s="17" t="s">
        <v>165</v>
      </c>
      <c r="I49" s="18" t="s">
        <v>166</v>
      </c>
      <c r="J49" s="19" t="str">
        <f t="shared" ref="J49:J52" si="5">CONCATENATE($J$47,"/",B49)</f>
        <v>/insuranceResponse/data/insurance/details/clauses/branch</v>
      </c>
    </row>
    <row r="50" spans="2:10" ht="29">
      <c r="B50" s="25" t="s">
        <v>147</v>
      </c>
      <c r="C50" s="18" t="s">
        <v>167</v>
      </c>
      <c r="D50" s="18" t="s">
        <v>56</v>
      </c>
      <c r="E50" s="18" t="s">
        <v>57</v>
      </c>
      <c r="F50" s="17" t="s">
        <v>30</v>
      </c>
      <c r="G50" s="18" t="s">
        <v>31</v>
      </c>
      <c r="H50" s="17" t="s">
        <v>168</v>
      </c>
      <c r="I50" s="18" t="s">
        <v>169</v>
      </c>
      <c r="J50" s="19" t="str">
        <f t="shared" si="5"/>
        <v>/insuranceResponse/data/insurance/details/clauses/startDateCoverage</v>
      </c>
    </row>
    <row r="51" spans="2:10" ht="29">
      <c r="B51" s="25" t="s">
        <v>151</v>
      </c>
      <c r="C51" s="18" t="s">
        <v>170</v>
      </c>
      <c r="D51" s="18" t="s">
        <v>80</v>
      </c>
      <c r="E51" s="18" t="s">
        <v>17</v>
      </c>
      <c r="F51" s="17" t="s">
        <v>18</v>
      </c>
      <c r="G51" s="18" t="s">
        <v>51</v>
      </c>
      <c r="H51" s="17" t="s">
        <v>81</v>
      </c>
      <c r="I51" s="18" t="s">
        <v>171</v>
      </c>
      <c r="J51" s="19" t="str">
        <f t="shared" si="5"/>
        <v>/insuranceResponse/data/insurance/details/clauses/noEndDateCoverage</v>
      </c>
    </row>
    <row r="52" spans="2:10" ht="29">
      <c r="B52" s="25" t="s">
        <v>155</v>
      </c>
      <c r="C52" s="18" t="s">
        <v>172</v>
      </c>
      <c r="D52" s="18" t="s">
        <v>56</v>
      </c>
      <c r="E52" s="18" t="s">
        <v>57</v>
      </c>
      <c r="F52" s="17" t="s">
        <v>18</v>
      </c>
      <c r="G52" s="18" t="s">
        <v>51</v>
      </c>
      <c r="H52" s="17" t="s">
        <v>173</v>
      </c>
      <c r="I52" s="18" t="s">
        <v>174</v>
      </c>
      <c r="J52" s="19" t="str">
        <f t="shared" si="5"/>
        <v>/insuranceResponse/data/insurance/details/clauses/endDateCoverage</v>
      </c>
    </row>
  </sheetData>
  <autoFilter ref="B11:J52" xr:uid="{8AF03D1A-6C81-4C4B-804A-13F525E7E469}"/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B28F1-5006-469C-B329-0AC8BE24E08E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B7C6361C-09E1-4CD4-B8B8-AFFD6FC3A4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5DE9F9-7F3C-44E5-BF5B-85FF7D162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insurances-ID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2025-07-14T19:09:59Z</cp:lastPrinted>
  <dcterms:created xsi:type="dcterms:W3CDTF">2025-06-26T18:25:58Z</dcterms:created>
  <dcterms:modified xsi:type="dcterms:W3CDTF">2025-07-14T19:10:02Z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