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4. Cuentas/07. Transacctions/"/>
    </mc:Choice>
  </mc:AlternateContent>
  <xr:revisionPtr revIDLastSave="14" documentId="8_{6FE24825-F400-4C90-895A-263947FC96E8}" xr6:coauthVersionLast="47" xr6:coauthVersionMax="47" xr10:uidLastSave="{41293125-67FF-4792-983C-37C02D8B17BD}"/>
  <bookViews>
    <workbookView xWindow="-120" yWindow="-120" windowWidth="38640" windowHeight="15720" tabRatio="593" firstSheet="1" activeTab="1" xr2:uid="{34AFFF4D-D5F8-4A80-8BA0-C45FDE7B9B7C}"/>
  </bookViews>
  <sheets>
    <sheet name="presential-channel" sheetId="1" state="hidden" r:id="rId1"/>
    <sheet name="AccountID-transactions" sheetId="13" r:id="rId2"/>
    <sheet name="Códigos de error" sheetId="8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13" l="1"/>
  <c r="J39" i="13" s="1"/>
  <c r="J27" i="13"/>
  <c r="J30" i="13" s="1"/>
  <c r="J43" i="13"/>
  <c r="J31" i="13"/>
  <c r="J32" i="13" s="1"/>
  <c r="J24" i="13"/>
  <c r="J26" i="13" s="1"/>
  <c r="J18" i="13"/>
  <c r="J19" i="13"/>
  <c r="J20" i="13"/>
  <c r="J21" i="13"/>
  <c r="J22" i="13"/>
  <c r="J23" i="13"/>
  <c r="J17" i="13"/>
  <c r="J40" i="13" l="1"/>
  <c r="J42" i="13" s="1"/>
  <c r="J38" i="13"/>
  <c r="J29" i="13"/>
  <c r="J33" i="13"/>
  <c r="J28" i="13"/>
  <c r="J25" i="13"/>
  <c r="J41" i="13" l="1"/>
  <c r="J36" i="13"/>
  <c r="J35" i="13"/>
  <c r="J34" i="13"/>
</calcChain>
</file>

<file path=xl/sharedStrings.xml><?xml version="1.0" encoding="utf-8"?>
<sst xmlns="http://schemas.openxmlformats.org/spreadsheetml/2006/main" count="502" uniqueCount="294">
  <si>
    <t>API:</t>
  </si>
  <si>
    <t xml:space="preserve">Elaborado por: </t>
  </si>
  <si>
    <t>Field Name</t>
  </si>
  <si>
    <t>ISO20022 Type</t>
  </si>
  <si>
    <t>JSON Data Type</t>
  </si>
  <si>
    <t>Cardinalidad</t>
  </si>
  <si>
    <t>Mandatory</t>
  </si>
  <si>
    <t>Ejemplo</t>
  </si>
  <si>
    <t>Observaciones</t>
  </si>
  <si>
    <t>Path</t>
  </si>
  <si>
    <t>channelId</t>
  </si>
  <si>
    <t>Max35Text</t>
  </si>
  <si>
    <t>string</t>
  </si>
  <si>
    <t>[1..1]</t>
  </si>
  <si>
    <t>Sí</t>
  </si>
  <si>
    <t>CHN_12345</t>
  </si>
  <si>
    <r>
      <t xml:space="preserve">Identificador único del canal de atención (ej. ATM, sucursal, call center, etc.). En Reino Unido, podría análogamente ser </t>
    </r>
    <r>
      <rPr>
        <sz val="10"/>
        <color theme="1"/>
        <rFont val="Arial Unicode MS"/>
      </rPr>
      <t>OBExternalChannelId</t>
    </r>
    <r>
      <rPr>
        <sz val="11"/>
        <color theme="1"/>
        <rFont val="Aptos Narrow"/>
        <family val="2"/>
        <scheme val="minor"/>
      </rPr>
      <t xml:space="preserve">; en Brasil, un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 interno con longitud máxima 35.</t>
    </r>
  </si>
  <si>
    <t>/presentialChannels/channelId</t>
  </si>
  <si>
    <t>channelType</t>
  </si>
  <si>
    <t>(ENUM/Custom Code)</t>
  </si>
  <si>
    <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OFFICE</t>
    </r>
  </si>
  <si>
    <r>
      <t xml:space="preserve">Tipo de canal. Se recomienda mantener un listado enumerado (por ej. </t>
    </r>
    <r>
      <rPr>
        <sz val="10"/>
        <color theme="1"/>
        <rFont val="Arial Unicode MS"/>
      </rP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OFFICE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CONTACT_CENTER</t>
    </r>
    <r>
      <rPr>
        <sz val="11"/>
        <color theme="1"/>
        <rFont val="Aptos Narrow"/>
        <family val="2"/>
        <scheme val="minor"/>
      </rPr>
      <t xml:space="preserve">). En ISO20022 no hay un code list estándar para “tipo de canal”, se sugiere un </t>
    </r>
    <r>
      <rPr>
        <i/>
        <sz val="11"/>
        <color theme="1"/>
        <rFont val="Aptos Narrow"/>
        <family val="2"/>
        <scheme val="minor"/>
      </rPr>
      <t>code set</t>
    </r>
    <r>
      <rPr>
        <sz val="11"/>
        <color theme="1"/>
        <rFont val="Aptos Narrow"/>
        <family val="2"/>
        <scheme val="minor"/>
      </rPr>
      <t xml:space="preserve"> interno.</t>
    </r>
  </si>
  <si>
    <t>/presentialChannels/channelType</t>
  </si>
  <si>
    <t>location</t>
  </si>
  <si>
    <t>PostalAddress6</t>
  </si>
  <si>
    <t>object</t>
  </si>
  <si>
    <t>[0..1]</t>
  </si>
  <si>
    <t>No</t>
  </si>
  <si>
    <r>
      <t xml:space="preserve">Dirección física del canal. ISO20022 </t>
    </r>
    <r>
      <rPr>
        <sz val="10"/>
        <color theme="1"/>
        <rFont val="Arial Unicode MS"/>
      </rPr>
      <t>PostalAddress6</t>
    </r>
    <r>
      <rPr>
        <sz val="11"/>
        <color theme="1"/>
        <rFont val="Aptos Narrow"/>
        <family val="2"/>
        <scheme val="minor"/>
      </rPr>
      <t xml:space="preserve"> incluye subcampos como </t>
    </r>
    <r>
      <rPr>
        <sz val="10"/>
        <color theme="1"/>
        <rFont val="Arial Unicode MS"/>
      </rPr>
      <t>StrtNm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BldgNb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TwnNm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CtrySubDvsn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PstCd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Ctry</t>
    </r>
    <r>
      <rPr>
        <sz val="11"/>
        <color theme="1"/>
        <rFont val="Aptos Narrow"/>
        <family val="2"/>
        <scheme val="minor"/>
      </rPr>
      <t>. Puede omitirse si el canal no tiene ubicación física (ej. canal digital).</t>
    </r>
  </si>
  <si>
    <t>/presentialChannels/location</t>
  </si>
  <si>
    <t>streetName</t>
  </si>
  <si>
    <t>Nombre de la calle en la dirección postal.</t>
  </si>
  <si>
    <t>/presentialChannels/location/streetName</t>
  </si>
  <si>
    <t>buildingNumber</t>
  </si>
  <si>
    <t>Número del edificio en la dirección postal.</t>
  </si>
  <si>
    <t>/presentialChannels/location/buildingNumber</t>
  </si>
  <si>
    <t>townName</t>
  </si>
  <si>
    <t>Nombre de la ciudad o localidad donde se encuentra la dirección.</t>
  </si>
  <si>
    <t>/presentialChannels/location/townName</t>
  </si>
  <si>
    <t>countrySubDivision</t>
  </si>
  <si>
    <t>División administrativa dentro de un país, como estado, provincia o región.</t>
  </si>
  <si>
    <t>/presentialChannels/location/countrySubDivision</t>
  </si>
  <si>
    <t>postCode</t>
  </si>
  <si>
    <t>Código postal asociado a la dirección.</t>
  </si>
  <si>
    <t>/presentialChannels/location/postCode</t>
  </si>
  <si>
    <t>country</t>
  </si>
  <si>
    <t>Código del país  (código ISO del país, p. ej. CL, BR, GB)</t>
  </si>
  <si>
    <t>/presentialChannels/location/country</t>
  </si>
  <si>
    <t>geoLocation</t>
  </si>
  <si>
    <t>GeoLocation1</t>
  </si>
  <si>
    <t>Coordenadas geográficas (lat/long). Para canales físicos (ATM, sucursal). Puede no aplicar a canales virtuales.</t>
  </si>
  <si>
    <t>/presentialChannels/geoLocation</t>
  </si>
  <si>
    <t>latitude</t>
  </si>
  <si>
    <t>decimal</t>
  </si>
  <si>
    <t xml:space="preserve">No </t>
  </si>
  <si>
    <t>Número de latitud asociada a la localizacipon del canal de servicio</t>
  </si>
  <si>
    <t>/presentialChannels/geoLocation/latitude</t>
  </si>
  <si>
    <t>longitude</t>
  </si>
  <si>
    <t>Número de longitud asociada a la localización del canal de servicio</t>
  </si>
  <si>
    <t>/presentialChannels/geoLocation/longitude</t>
  </si>
  <si>
    <t>openingHours</t>
  </si>
  <si>
    <t>OpeningHours1</t>
  </si>
  <si>
    <r>
      <t xml:space="preserve">Horario de atención. Incluye subcampos como </t>
    </r>
    <r>
      <rPr>
        <sz val="10"/>
        <color theme="1"/>
        <rFont val="Arial Unicode MS"/>
      </rPr>
      <t>OpenTime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CloseTime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OpenDays</t>
    </r>
    <r>
      <rPr>
        <sz val="11"/>
        <color theme="1"/>
        <rFont val="Aptos Narrow"/>
        <family val="2"/>
        <scheme val="minor"/>
      </rPr>
      <t xml:space="preserve"> (array de días </t>
    </r>
    <r>
      <rPr>
        <sz val="10"/>
        <color theme="1"/>
        <rFont val="Arial Unicode MS"/>
      </rPr>
      <t>[MON, TUE, ...]</t>
    </r>
    <r>
      <rPr>
        <sz val="11"/>
        <color theme="1"/>
        <rFont val="Aptos Narrow"/>
        <family val="2"/>
        <scheme val="minor"/>
      </rPr>
      <t>).</t>
    </r>
  </si>
  <si>
    <t>/presentialChannels/openingHours</t>
  </si>
  <si>
    <t>openTime</t>
  </si>
  <si>
    <t>formato HH:mm</t>
  </si>
  <si>
    <t>/presentialChannels/openingHours/openTime</t>
  </si>
  <si>
    <t>closeTime</t>
  </si>
  <si>
    <t>/presentialChannels/openingHours/closeTime</t>
  </si>
  <si>
    <t>openDays</t>
  </si>
  <si>
    <t>array&lt;string&gt;</t>
  </si>
  <si>
    <t xml:space="preserve"> ej. [MON, TUE, WED, THU, FRI, SAT, SUN]</t>
  </si>
  <si>
    <t>/presentialChannels/openingHours/openDays</t>
  </si>
  <si>
    <t>contactNumber</t>
  </si>
  <si>
    <t>PhoneNumber</t>
  </si>
  <si>
    <t>+56 2 12345678</t>
  </si>
  <si>
    <t>Número de teléfono del canal (por ejemplo, para una sucursal o contact center). En ATM probablemente no aplique, pero es parte del modelo general.</t>
  </si>
  <si>
    <t>/presentialChannels/contactNumber</t>
  </si>
  <si>
    <t>additionalInfo</t>
  </si>
  <si>
    <t>Max256Text</t>
  </si>
  <si>
    <t>Disponible 24/7</t>
  </si>
  <si>
    <t>Texto libre para información adicional (en mantención, horarios especiales, accesibilidad, etc.).</t>
  </si>
  <si>
    <t>/presentialChannels/additionalInfo</t>
  </si>
  <si>
    <t>Request:</t>
  </si>
  <si>
    <t>page</t>
  </si>
  <si>
    <t>Max5NumericText</t>
  </si>
  <si>
    <t>number (int)</t>
  </si>
  <si>
    <t>pageSize</t>
  </si>
  <si>
    <t>city</t>
  </si>
  <si>
    <t>Max70Text</t>
  </si>
  <si>
    <t>Response:</t>
  </si>
  <si>
    <t>array&lt;object&gt;</t>
  </si>
  <si>
    <t>[0..*]</t>
  </si>
  <si>
    <t>Hora de apertura</t>
  </si>
  <si>
    <t>Hora de cierre</t>
  </si>
  <si>
    <t>Código</t>
  </si>
  <si>
    <t>Situación</t>
  </si>
  <si>
    <t>Aplicación en las APIs</t>
  </si>
  <si>
    <t>200 OK</t>
  </si>
  <si>
    <t>Consulta completada correctamente.</t>
  </si>
  <si>
    <t>La solicitud fue procesada exitosamente y se devuelve la información solicitada (p. ej., lista de productos, canales de atención).</t>
  </si>
  <si>
    <t>201 Created</t>
  </si>
  <si>
    <t>Ejecución estándar. La solicitud fue exitosa.</t>
  </si>
  <si>
    <t>Solo aplicable si se permite crear un nuevo recurso en ciertas operaciones (no común en open data).</t>
  </si>
  <si>
    <t>204 No Content</t>
  </si>
  <si>
    <t>La solicitud se completó correctamente, pero no hay contenido para devolver.</t>
  </si>
  <si>
    <t>Usado en operaciones donde no hay resultados (ej. un filtro no devuelve resultados).</t>
  </si>
  <si>
    <t>304 Not Modified</t>
  </si>
  <si>
    <t>La respuesta no ha sido modificada desde la última llamada.</t>
  </si>
  <si>
    <r>
      <t xml:space="preserve">Usado cuando el cliente solicita información con un encabezado </t>
    </r>
    <r>
      <rPr>
        <sz val="10"/>
        <color theme="1"/>
        <rFont val="Arial Unicode MS"/>
      </rPr>
      <t>If-Modified-Since</t>
    </r>
    <r>
      <rPr>
        <sz val="11"/>
        <color theme="1"/>
        <rFont val="Aptos Narrow"/>
        <family val="2"/>
        <scheme val="minor"/>
      </rPr>
      <t xml:space="preserve"> y no hay cambios desde la última consulta.</t>
    </r>
  </si>
  <si>
    <t>400 Bad Request</t>
  </si>
  <si>
    <t>Encabezado de autenticación ausente/inválido o solicitud mal formada.</t>
  </si>
  <si>
    <r>
      <t xml:space="preserve">Por ejemplo, si faltan parámetros obligatorios o el formato de algún campo es incorrecto (p. ej., </t>
    </r>
    <r>
      <rPr>
        <sz val="10"/>
        <color theme="1"/>
        <rFont val="Arial Unicode MS"/>
      </rPr>
      <t>page</t>
    </r>
    <r>
      <rPr>
        <sz val="11"/>
        <color theme="1"/>
        <rFont val="Aptos Narrow"/>
        <family val="2"/>
        <scheme val="minor"/>
      </rPr>
      <t xml:space="preserve"> no es un número).</t>
    </r>
  </si>
  <si>
    <t>401 Unauthorized</t>
  </si>
  <si>
    <t>Encabezado de autenticación ausente/inválido o token inválido.</t>
  </si>
  <si>
    <t>No aplica en APIs de Open Data, ya que típicamente no requieren autenticación (pero podría usarse si en el futuro se introduce autenticación para ciertos niveles de acceso).</t>
  </si>
  <si>
    <t>403 Forbidden</t>
  </si>
  <si>
    <t>El token tiene un alcance incorrecto o se violó una política de seguridad.</t>
  </si>
  <si>
    <t>No aplica a Open Data.</t>
  </si>
  <si>
    <t>404 Not Found</t>
  </si>
  <si>
    <t>El recurso solicitado no existe o no fue implementado.</t>
  </si>
  <si>
    <r>
      <t xml:space="preserve">Por ejemplo, si un usuario intenta acceder a un endpoint no válido o busca un producto/canal inexistente (p. ej., un </t>
    </r>
    <r>
      <rPr>
        <sz val="10"/>
        <color theme="1"/>
        <rFont val="Arial Unicode MS"/>
      </rPr>
      <t>productServiceId</t>
    </r>
    <r>
      <rPr>
        <sz val="11"/>
        <color theme="1"/>
        <rFont val="Aptos Narrow"/>
        <family val="2"/>
        <scheme val="minor"/>
      </rPr>
      <t xml:space="preserve"> que no existe).</t>
    </r>
  </si>
  <si>
    <t>405 Method Not Allowed</t>
  </si>
  <si>
    <t>El consumidor intentó acceder al recurso con un método no soportado.</t>
  </si>
  <si>
    <r>
      <t xml:space="preserve">Usado si el cliente intenta usar un método HTTP no permitido (p. ej., </t>
    </r>
    <r>
      <rPr>
        <sz val="10"/>
        <color theme="1"/>
        <rFont val="Arial Unicode MS"/>
      </rPr>
      <t>POST</t>
    </r>
    <r>
      <rPr>
        <sz val="11"/>
        <color theme="1"/>
        <rFont val="Aptos Narrow"/>
        <family val="2"/>
        <scheme val="minor"/>
      </rPr>
      <t xml:space="preserve"> en lugar de </t>
    </r>
    <r>
      <rPr>
        <sz val="10"/>
        <color theme="1"/>
        <rFont val="Arial Unicode MS"/>
      </rPr>
      <t>GET</t>
    </r>
    <r>
      <rPr>
        <sz val="11"/>
        <color theme="1"/>
        <rFont val="Aptos Narrow"/>
        <family val="2"/>
        <scheme val="minor"/>
      </rPr>
      <t xml:space="preserve"> en las APIs de Open Data).</t>
    </r>
  </si>
  <si>
    <t>406 Not Acceptable</t>
  </si>
  <si>
    <r>
      <t xml:space="preserve">La solicitud contenía un encabezado </t>
    </r>
    <r>
      <rPr>
        <sz val="10"/>
        <color theme="1"/>
        <rFont val="Arial Unicode MS"/>
      </rPr>
      <t>Accept</t>
    </r>
    <r>
      <rPr>
        <sz val="11"/>
        <color theme="1"/>
        <rFont val="Aptos Narrow"/>
        <family val="2"/>
        <scheme val="minor"/>
      </rPr>
      <t xml:space="preserve"> diferente de los tipos permitidos.</t>
    </r>
  </si>
  <si>
    <t>Por ejemplo, si el cliente solicita una respuesta en un formato no soportado (p. ej., XML cuando la API solo entrega JSON).</t>
  </si>
  <si>
    <t>409 Conflict</t>
  </si>
  <si>
    <t>Conflicto en el estado del recurso.</t>
  </si>
  <si>
    <t>Raro en Open Data; puede aplicarse si hay problemas en la sincronización de información en operaciones futuras más complejas.</t>
  </si>
  <si>
    <t>410 Gone</t>
  </si>
  <si>
    <t>El recurso fue borrado o eliminado.</t>
  </si>
  <si>
    <t>Usado si un recurso previamente disponible (p. ej., un producto/servicio o canal) ya no está en la oferta pública.</t>
  </si>
  <si>
    <t>415 Unsupported Media Type</t>
  </si>
  <si>
    <t>La operación fue rechazada porque el payload está en un formato no soportado por el endpoint.</t>
  </si>
  <si>
    <t>Usado si el cliente intenta enviar un cuerpo de solicitud en un formato inválido (aplicable en APIs más complejas).</t>
  </si>
  <si>
    <t>429 Too Many Requests</t>
  </si>
  <si>
    <t>La operación fue rechazada porque se alcanzó el límite de solicitudes por segundo establecido.</t>
  </si>
  <si>
    <t>Por ejemplo, si el cliente realiza demasiadas solicitudes en un corto período de tiempo (relevante en APIs abiertas con alto tráfico).</t>
  </si>
  <si>
    <t>500 Internal Server Error</t>
  </si>
  <si>
    <t>Ocurrió un error en el gateway de la API o en el microservicio.</t>
  </si>
  <si>
    <t>Error genérico en el servidor por un problema inesperado.</t>
  </si>
  <si>
    <t>502 Bad Gateway</t>
  </si>
  <si>
    <t>Problema con el servidor proxy o gateway.</t>
  </si>
  <si>
    <t>Usado si hay problemas en la comunicación entre servicios internos (puede ocurrir si la API es parte de un sistema distribuido).</t>
  </si>
  <si>
    <t>503 Service Unavailable</t>
  </si>
  <si>
    <t>El servicio no está disponible en este momento.</t>
  </si>
  <si>
    <t>Por ejemplo, durante un mantenimiento programado o si la API está sobrecargada.</t>
  </si>
  <si>
    <t>504 Gateway Timeout</t>
  </si>
  <si>
    <t>El servidor no pudo responder a tiempo.</t>
  </si>
  <si>
    <t>Usado si un servicio interno tarda demasiado en responder y el gateway de la API agota el tiempo de espera.</t>
  </si>
  <si>
    <t>Identificador del canal de servicio</t>
  </si>
  <si>
    <t>Tipo canal de servicio</t>
  </si>
  <si>
    <t>Objeto de locación</t>
  </si>
  <si>
    <t xml:space="preserve">Dirección </t>
  </si>
  <si>
    <t>Número</t>
  </si>
  <si>
    <t>Ciudad</t>
  </si>
  <si>
    <t>Región</t>
  </si>
  <si>
    <t>Código Postal</t>
  </si>
  <si>
    <t>Código del Pais</t>
  </si>
  <si>
    <t>Objeto Geo Locación</t>
  </si>
  <si>
    <t>Logintud de ubicación</t>
  </si>
  <si>
    <t>Latitud de ubicación</t>
  </si>
  <si>
    <t>Objeto horarios de atención</t>
  </si>
  <si>
    <t>Días de la semana de atención</t>
  </si>
  <si>
    <t>Información adicional</t>
  </si>
  <si>
    <t>Objeto principal</t>
  </si>
  <si>
    <t>Glosa FieldName</t>
  </si>
  <si>
    <t>Número teléfonico de contacto</t>
  </si>
  <si>
    <t>Comuna</t>
  </si>
  <si>
    <t>Nombre de la comuna</t>
  </si>
  <si>
    <t>/presentialChannels/location/city</t>
  </si>
  <si>
    <t>Accounts</t>
  </si>
  <si>
    <t>Minsait</t>
  </si>
  <si>
    <t>account</t>
  </si>
  <si>
    <t>Max40Text</t>
  </si>
  <si>
    <t>currency</t>
  </si>
  <si>
    <t>ISO4217CurrencyCode</t>
  </si>
  <si>
    <t>"CLP"</t>
  </si>
  <si>
    <t>ISODate</t>
  </si>
  <si>
    <t>string (date)</t>
  </si>
  <si>
    <t>Max140Text</t>
  </si>
  <si>
    <t>"Juan Pérez"</t>
  </si>
  <si>
    <t>Amount</t>
  </si>
  <si>
    <t>number</t>
  </si>
  <si>
    <t>Número de página</t>
  </si>
  <si>
    <t>Para paginación, indica la página que se desea consultar.</t>
  </si>
  <si>
    <t>Tamaño de página</t>
  </si>
  <si>
    <t>amount</t>
  </si>
  <si>
    <t>ISODateTime</t>
  </si>
  <si>
    <t>string (date-time)</t>
  </si>
  <si>
    <t>5000.00</t>
  </si>
  <si>
    <t>"2025-01-01"</t>
  </si>
  <si>
    <t>fromDate</t>
  </si>
  <si>
    <t>Fecha de inicio del rango</t>
  </si>
  <si>
    <t>Fecha inicial para filtrar el historial de saldos.</t>
  </si>
  <si>
    <t>toDate</t>
  </si>
  <si>
    <t>Fecha de fin del rango</t>
  </si>
  <si>
    <t>"2025-03-31"</t>
  </si>
  <si>
    <t>Fecha final para filtrar el historial de saldos.</t>
  </si>
  <si>
    <t>Cantidad de registros por página en el historial.</t>
  </si>
  <si>
    <t>Raíz que contiene la respuesta devuelta por el endpoint.</t>
  </si>
  <si>
    <t>transactions</t>
  </si>
  <si>
    <t>Lista de Transacciones</t>
  </si>
  <si>
    <t>Array&lt;TransactionItem&gt;</t>
  </si>
  <si>
    <t>Array con las transacciones correspondientes al período y filtros aplicados.</t>
  </si>
  <si>
    <t>Identificador de la Transacción</t>
  </si>
  <si>
    <t>"TXN987654"</t>
  </si>
  <si>
    <t>ID único de la transacción.</t>
  </si>
  <si>
    <t>Fecha/hora de la Transacción</t>
  </si>
  <si>
    <t>"2025-02-10T10:00:00Z"</t>
  </si>
  <si>
    <t>Momento exacto en que la transacción fue registrada o impactó la cuenta.</t>
  </si>
  <si>
    <t>Tipo de Transacción</t>
  </si>
  <si>
    <t>TransactionTypeCode</t>
  </si>
  <si>
    <t>"DEBIT"</t>
  </si>
  <si>
    <t>Indica si es un débito, crédito u otro tipo (e.g., “StandingOrder”).</t>
  </si>
  <si>
    <t>Monto de la Transacción</t>
  </si>
  <si>
    <t>Importe monetario de la transacción.</t>
  </si>
  <si>
    <t>Moneda de la Transacción</t>
  </si>
  <si>
    <t>Moneda en la que se realizó la transacción.</t>
  </si>
  <si>
    <t>"Pago de luz"</t>
  </si>
  <si>
    <t>Texto breve que explica el detalle de la transacción.</t>
  </si>
  <si>
    <t>Saldo Posterior</t>
  </si>
  <si>
    <t>10000.00</t>
  </si>
  <si>
    <t>Saldo de la cuenta después de aplicar la transacción.</t>
  </si>
  <si>
    <t>Detalles del Comerciante</t>
  </si>
  <si>
    <t>MerchantDetailsType</t>
  </si>
  <si>
    <t>Información del comercio en caso de pagos con tarjeta (requiere permiso Detail).</t>
  </si>
  <si>
    <t>Nombre del Comercio</t>
  </si>
  <si>
    <t>"Supermercado ABC"</t>
  </si>
  <si>
    <t>Categoría</t>
  </si>
  <si>
    <t>"Alimentos"</t>
  </si>
  <si>
    <t>Categoría o rubro del comercio.</t>
  </si>
  <si>
    <t>Identificador del Acreedor</t>
  </si>
  <si>
    <t>AgentTypeCode</t>
  </si>
  <si>
    <t>[0..1] (Detail)</t>
  </si>
  <si>
    <t>Cuenta del Acreedor</t>
  </si>
  <si>
    <t>AccountReferenceType</t>
  </si>
  <si>
    <t>"12345678-9"</t>
  </si>
  <si>
    <t>Número de cuenta de la contraparte (acreedor).</t>
  </si>
  <si>
    <t>Identificador del Deudor</t>
  </si>
  <si>
    <t>Datos del agente deudor (p.ej., BIC o RUT si es una transferencia entrante).</t>
  </si>
  <si>
    <t>Acreedor Final</t>
  </si>
  <si>
    <t>"Empresa XYZ"</t>
  </si>
  <si>
    <t>En algunos casos, puede haber un acreedor final diferente (cadena de pagos).</t>
  </si>
  <si>
    <t>Deudor Final</t>
  </si>
  <si>
    <t>Si la transacción tiene un deudor final distinto al iniciador del pago.</t>
  </si>
  <si>
    <t>transactionsType</t>
  </si>
  <si>
    <t>balanceAfter</t>
  </si>
  <si>
    <t>merchantDetails</t>
  </si>
  <si>
    <t>ultimateCreditor</t>
  </si>
  <si>
    <t>ultimateDebtor</t>
  </si>
  <si>
    <t>Nombre del comercio</t>
  </si>
  <si>
    <t xml:space="preserve">Datos de la institución del  agente acreedor </t>
  </si>
  <si>
    <t>paymentPurposeCode</t>
  </si>
  <si>
    <t>categoryPurposeCode</t>
  </si>
  <si>
    <t>Descripción del pago</t>
  </si>
  <si>
    <t>Categoría del pago</t>
  </si>
  <si>
    <t>Servicios básicos</t>
  </si>
  <si>
    <t>Cuenta del deudor</t>
  </si>
  <si>
    <t>Número de cuenta del deudor.</t>
  </si>
  <si>
    <t>cardInstrument</t>
  </si>
  <si>
    <t>Elementos de la tarjeta de pago</t>
  </si>
  <si>
    <t>Marca de la tarjeta</t>
  </si>
  <si>
    <t>Visa</t>
  </si>
  <si>
    <t>data</t>
  </si>
  <si>
    <t>Type Request</t>
  </si>
  <si>
    <t>accountID</t>
  </si>
  <si>
    <t>Identificador de la cuenta</t>
  </si>
  <si>
    <t>transactionsResponse</t>
  </si>
  <si>
    <t>/transactionsResponse</t>
  </si>
  <si>
    <t>/transactionsResponse/data</t>
  </si>
  <si>
    <t>/transactionsResponse/data/transactions</t>
  </si>
  <si>
    <t>name</t>
  </si>
  <si>
    <t>category</t>
  </si>
  <si>
    <t>Dirección del Acreedor</t>
  </si>
  <si>
    <t>Dirección del Acreedor Final</t>
  </si>
  <si>
    <t>Dirección Deudor Final</t>
  </si>
  <si>
    <t>debtor</t>
  </si>
  <si>
    <t>Objeto del deudor</t>
  </si>
  <si>
    <t>Object</t>
  </si>
  <si>
    <t>agent</t>
  </si>
  <si>
    <t>address</t>
  </si>
  <si>
    <t>creditor</t>
  </si>
  <si>
    <t>Objeto del acreedor</t>
  </si>
  <si>
    <t>Objeto del acreedor final</t>
  </si>
  <si>
    <t>Objeto deudor final</t>
  </si>
  <si>
    <t>transactionID</t>
  </si>
  <si>
    <t>bookingDateTime</t>
  </si>
  <si>
    <t>Dirección del Deudor</t>
  </si>
  <si>
    <t>Dirección del deudor</t>
  </si>
  <si>
    <t>Recurso: GET /accounts/v1/accounts/{accountID}/transactions</t>
  </si>
  <si>
    <t>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</si>
</sst>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rial Unicode MS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14" fontId="8" fillId="0" borderId="0" applyFill="0" applyBorder="0">
      <alignment horizontal="center" vertical="center"/>
    </xf>
    <xf numFmtId="0" fontId="13" fillId="0" borderId="0" applyNumberFormat="0" applyFill="0" applyBorder="0" applyAlignment="0" applyProtection="0"/>
  </cellStyleXfs>
  <cellXfs count="36">
    <xf numFmtId="0" fontId="0" fillId="0" borderId="0" xfId="0"/>
    <xf numFmtId="0" fontId="4" fillId="0" borderId="0" xfId="0" applyFont="1"/>
    <xf numFmtId="0" fontId="7" fillId="0" borderId="0" xfId="1" applyFont="1" applyFill="1" applyAlignment="1">
      <alignment horizontal="left" vertical="center" indent="1"/>
    </xf>
    <xf numFmtId="14" fontId="9" fillId="0" borderId="0" xfId="3" applyFont="1" applyFill="1" applyBorder="1" applyAlignment="1">
      <alignment horizontal="left" vertical="center"/>
    </xf>
    <xf numFmtId="0" fontId="7" fillId="0" borderId="0" xfId="1" applyFont="1" applyFill="1" applyAlignment="1">
      <alignment vertical="center"/>
    </xf>
    <xf numFmtId="0" fontId="10" fillId="0" borderId="0" xfId="2" applyFont="1" applyBorder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0" fillId="0" borderId="0" xfId="0" applyAlignment="1">
      <alignment wrapText="1"/>
    </xf>
    <xf numFmtId="0" fontId="11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left" vertical="center" wrapText="1"/>
    </xf>
    <xf numFmtId="20" fontId="6" fillId="0" borderId="2" xfId="0" applyNumberFormat="1" applyFont="1" applyBorder="1" applyAlignment="1">
      <alignment horizontal="left" vertical="center" wrapText="1"/>
    </xf>
    <xf numFmtId="0" fontId="0" fillId="0" borderId="0" xfId="0" applyFill="1"/>
    <xf numFmtId="0" fontId="5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0" xfId="0" applyFont="1"/>
    <xf numFmtId="0" fontId="0" fillId="0" borderId="2" xfId="0" applyFont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2"/>
    </xf>
    <xf numFmtId="0" fontId="4" fillId="0" borderId="2" xfId="0" applyFont="1" applyFill="1" applyBorder="1" applyAlignment="1">
      <alignment horizontal="left" vertical="center" wrapText="1" indent="3"/>
    </xf>
    <xf numFmtId="0" fontId="4" fillId="0" borderId="2" xfId="0" applyFont="1" applyBorder="1" applyAlignment="1">
      <alignment horizontal="left" vertical="center" wrapText="1" indent="3"/>
    </xf>
    <xf numFmtId="0" fontId="4" fillId="0" borderId="2" xfId="0" applyFont="1" applyFill="1" applyBorder="1" applyAlignment="1">
      <alignment horizontal="left" vertical="center" wrapText="1" indent="4"/>
    </xf>
  </cellXfs>
  <cellStyles count="5">
    <cellStyle name="Fecha" xfId="3" xr:uid="{C51C21B5-277D-4BC2-91CA-A1F0CC071EB3}"/>
    <cellStyle name="Hyperlink" xfId="4" xr:uid="{00000000-000B-0000-0000-000008000000}"/>
    <cellStyle name="Normal" xfId="0" builtinId="0"/>
    <cellStyle name="Título" xfId="1" builtinId="15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1574971</xdr:colOff>
      <xdr:row>0</xdr:row>
      <xdr:rowOff>44823</xdr:rowOff>
    </xdr:from>
    <xdr:to>
      <xdr:col>4</xdr:col>
      <xdr:colOff>369656</xdr:colOff>
      <xdr:row>0</xdr:row>
      <xdr:rowOff>885264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FB4E5EFE-C94D-4A89-A533-1974A7058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3942" y="44823"/>
          <a:ext cx="2156449" cy="840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201706</xdr:colOff>
      <xdr:row>0</xdr:row>
      <xdr:rowOff>247427</xdr:rowOff>
    </xdr:from>
    <xdr:to>
      <xdr:col>2</xdr:col>
      <xdr:colOff>1075764</xdr:colOff>
      <xdr:row>0</xdr:row>
      <xdr:rowOff>649830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8536-4E3B-463C-AB27-72943C74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18" y="247427"/>
          <a:ext cx="2319617" cy="402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163794</xdr:rowOff>
    </xdr:from>
    <xdr:to>
      <xdr:col>2</xdr:col>
      <xdr:colOff>521819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064E2A-30E2-4482-82B4-22A49D09C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7938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4B9F-C274-4F7B-A8B8-F8E1C1D9C4E1}">
  <dimension ref="B1:J25"/>
  <sheetViews>
    <sheetView showGridLines="0" zoomScale="85" zoomScaleNormal="85" workbookViewId="0">
      <selection activeCell="D13" sqref="D13"/>
    </sheetView>
  </sheetViews>
  <sheetFormatPr baseColWidth="10" defaultColWidth="11.28515625" defaultRowHeight="15"/>
  <cols>
    <col min="1" max="1" width="6" customWidth="1"/>
    <col min="2" max="2" width="21.7109375" customWidth="1"/>
    <col min="3" max="3" width="27.28515625" customWidth="1"/>
    <col min="4" max="4" width="23.140625" customWidth="1"/>
    <col min="5" max="5" width="14.85546875" bestFit="1" customWidth="1"/>
    <col min="6" max="6" width="12.42578125" customWidth="1"/>
    <col min="7" max="7" width="9.7109375" style="22" bestFit="1" customWidth="1"/>
    <col min="8" max="8" width="19" customWidth="1"/>
    <col min="9" max="9" width="81.28515625" customWidth="1"/>
    <col min="10" max="10" width="40.7109375" customWidth="1"/>
  </cols>
  <sheetData>
    <row r="1" spans="2:10" ht="70.5" customHeight="1">
      <c r="B1" s="1"/>
      <c r="C1" s="1"/>
    </row>
    <row r="2" spans="2:10" ht="21">
      <c r="B2" s="2" t="s">
        <v>0</v>
      </c>
      <c r="C2" s="2"/>
      <c r="D2" s="4" t="s">
        <v>173</v>
      </c>
      <c r="E2" s="18"/>
    </row>
    <row r="3" spans="2:10">
      <c r="B3" s="5" t="s">
        <v>1</v>
      </c>
      <c r="C3" s="5"/>
      <c r="D3" s="3" t="s">
        <v>174</v>
      </c>
    </row>
    <row r="5" spans="2:10" ht="21" customHeight="1">
      <c r="B5" s="6" t="s">
        <v>2</v>
      </c>
      <c r="C5" s="11" t="s">
        <v>168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11" t="s">
        <v>9</v>
      </c>
    </row>
    <row r="6" spans="2:10" ht="45">
      <c r="B6" s="7" t="s">
        <v>10</v>
      </c>
      <c r="C6" s="26" t="s">
        <v>152</v>
      </c>
      <c r="D6" s="8" t="s">
        <v>11</v>
      </c>
      <c r="E6" s="8" t="s">
        <v>12</v>
      </c>
      <c r="F6" s="9" t="s">
        <v>13</v>
      </c>
      <c r="G6" s="23" t="s">
        <v>14</v>
      </c>
      <c r="H6" s="8" t="s">
        <v>15</v>
      </c>
      <c r="I6" s="9" t="s">
        <v>16</v>
      </c>
      <c r="J6" s="9" t="s">
        <v>17</v>
      </c>
    </row>
    <row r="7" spans="2:10" ht="45">
      <c r="B7" s="7" t="s">
        <v>18</v>
      </c>
      <c r="C7" s="26" t="s">
        <v>153</v>
      </c>
      <c r="D7" s="10" t="s">
        <v>19</v>
      </c>
      <c r="E7" s="8" t="s">
        <v>12</v>
      </c>
      <c r="F7" s="9" t="s">
        <v>13</v>
      </c>
      <c r="G7" s="23" t="s">
        <v>14</v>
      </c>
      <c r="H7" s="19" t="s">
        <v>20</v>
      </c>
      <c r="I7" s="9" t="s">
        <v>21</v>
      </c>
      <c r="J7" s="9" t="s">
        <v>22</v>
      </c>
    </row>
    <row r="8" spans="2:10" ht="45">
      <c r="B8" s="7" t="s">
        <v>23</v>
      </c>
      <c r="C8" s="26" t="s">
        <v>154</v>
      </c>
      <c r="D8" s="8" t="s">
        <v>24</v>
      </c>
      <c r="E8" s="14" t="s">
        <v>25</v>
      </c>
      <c r="F8" s="9" t="s">
        <v>26</v>
      </c>
      <c r="G8" s="23" t="s">
        <v>27</v>
      </c>
      <c r="H8" s="10"/>
      <c r="I8" s="9" t="s">
        <v>28</v>
      </c>
      <c r="J8" s="9" t="s">
        <v>29</v>
      </c>
    </row>
    <row r="9" spans="2:10">
      <c r="B9" s="20" t="s">
        <v>30</v>
      </c>
      <c r="C9" s="27" t="s">
        <v>155</v>
      </c>
      <c r="D9" s="10" t="s">
        <v>89</v>
      </c>
      <c r="E9" s="8" t="s">
        <v>12</v>
      </c>
      <c r="F9" s="9" t="s">
        <v>26</v>
      </c>
      <c r="G9" s="23" t="s">
        <v>27</v>
      </c>
      <c r="H9" s="10"/>
      <c r="I9" s="9" t="s">
        <v>31</v>
      </c>
      <c r="J9" s="21" t="s">
        <v>32</v>
      </c>
    </row>
    <row r="10" spans="2:10" ht="30">
      <c r="B10" s="20" t="s">
        <v>33</v>
      </c>
      <c r="C10" s="27" t="s">
        <v>156</v>
      </c>
      <c r="D10" s="10" t="s">
        <v>89</v>
      </c>
      <c r="E10" s="8" t="s">
        <v>12</v>
      </c>
      <c r="F10" s="9" t="s">
        <v>26</v>
      </c>
      <c r="G10" s="23" t="s">
        <v>27</v>
      </c>
      <c r="H10" s="10"/>
      <c r="I10" s="9" t="s">
        <v>34</v>
      </c>
      <c r="J10" s="21" t="s">
        <v>35</v>
      </c>
    </row>
    <row r="11" spans="2:10">
      <c r="B11" s="20" t="s">
        <v>88</v>
      </c>
      <c r="C11" s="27" t="s">
        <v>157</v>
      </c>
      <c r="D11" s="25" t="s">
        <v>89</v>
      </c>
      <c r="E11" s="19" t="s">
        <v>12</v>
      </c>
      <c r="F11" s="21" t="s">
        <v>26</v>
      </c>
      <c r="G11" s="24" t="s">
        <v>27</v>
      </c>
      <c r="H11" s="25"/>
      <c r="I11" s="21" t="s">
        <v>37</v>
      </c>
      <c r="J11" s="21" t="s">
        <v>172</v>
      </c>
    </row>
    <row r="12" spans="2:10">
      <c r="B12" s="20" t="s">
        <v>36</v>
      </c>
      <c r="C12" s="27" t="s">
        <v>170</v>
      </c>
      <c r="D12" s="10" t="s">
        <v>89</v>
      </c>
      <c r="E12" s="8" t="s">
        <v>12</v>
      </c>
      <c r="F12" s="9" t="s">
        <v>26</v>
      </c>
      <c r="G12" s="23" t="s">
        <v>27</v>
      </c>
      <c r="H12" s="10"/>
      <c r="I12" s="9" t="s">
        <v>171</v>
      </c>
      <c r="J12" s="21" t="s">
        <v>38</v>
      </c>
    </row>
    <row r="13" spans="2:10" ht="30">
      <c r="B13" s="20" t="s">
        <v>39</v>
      </c>
      <c r="C13" s="27" t="s">
        <v>158</v>
      </c>
      <c r="D13" s="10" t="s">
        <v>89</v>
      </c>
      <c r="E13" s="8" t="s">
        <v>12</v>
      </c>
      <c r="F13" s="9" t="s">
        <v>26</v>
      </c>
      <c r="G13" s="23" t="s">
        <v>27</v>
      </c>
      <c r="H13" s="10"/>
      <c r="I13" s="9" t="s">
        <v>40</v>
      </c>
      <c r="J13" s="21" t="s">
        <v>41</v>
      </c>
    </row>
    <row r="14" spans="2:10">
      <c r="B14" s="20" t="s">
        <v>42</v>
      </c>
      <c r="C14" s="27" t="s">
        <v>159</v>
      </c>
      <c r="D14" s="10" t="s">
        <v>89</v>
      </c>
      <c r="E14" s="8" t="s">
        <v>12</v>
      </c>
      <c r="F14" s="9" t="s">
        <v>26</v>
      </c>
      <c r="G14" s="23" t="s">
        <v>27</v>
      </c>
      <c r="H14" s="10"/>
      <c r="I14" s="9" t="s">
        <v>43</v>
      </c>
      <c r="J14" s="21" t="s">
        <v>44</v>
      </c>
    </row>
    <row r="15" spans="2:10">
      <c r="B15" s="20" t="s">
        <v>45</v>
      </c>
      <c r="C15" s="27" t="s">
        <v>160</v>
      </c>
      <c r="D15" s="10" t="s">
        <v>89</v>
      </c>
      <c r="E15" s="8" t="s">
        <v>12</v>
      </c>
      <c r="F15" s="9" t="s">
        <v>26</v>
      </c>
      <c r="G15" s="23" t="s">
        <v>27</v>
      </c>
      <c r="H15" s="10"/>
      <c r="I15" s="9" t="s">
        <v>46</v>
      </c>
      <c r="J15" s="21" t="s">
        <v>47</v>
      </c>
    </row>
    <row r="16" spans="2:10" ht="30">
      <c r="B16" s="7" t="s">
        <v>48</v>
      </c>
      <c r="C16" s="26" t="s">
        <v>161</v>
      </c>
      <c r="D16" s="8" t="s">
        <v>49</v>
      </c>
      <c r="E16" s="14" t="s">
        <v>25</v>
      </c>
      <c r="F16" s="9" t="s">
        <v>26</v>
      </c>
      <c r="G16" s="23" t="s">
        <v>27</v>
      </c>
      <c r="H16" s="10"/>
      <c r="I16" s="9" t="s">
        <v>50</v>
      </c>
      <c r="J16" s="9" t="s">
        <v>51</v>
      </c>
    </row>
    <row r="17" spans="2:10">
      <c r="B17" s="7" t="s">
        <v>52</v>
      </c>
      <c r="C17" s="26" t="s">
        <v>163</v>
      </c>
      <c r="D17" s="8"/>
      <c r="E17" s="8" t="s">
        <v>53</v>
      </c>
      <c r="F17" s="9" t="s">
        <v>26</v>
      </c>
      <c r="G17" s="23" t="s">
        <v>54</v>
      </c>
      <c r="H17" s="10"/>
      <c r="I17" s="9" t="s">
        <v>55</v>
      </c>
      <c r="J17" s="9" t="s">
        <v>56</v>
      </c>
    </row>
    <row r="18" spans="2:10">
      <c r="B18" s="7" t="s">
        <v>57</v>
      </c>
      <c r="C18" s="26" t="s">
        <v>162</v>
      </c>
      <c r="D18" s="8"/>
      <c r="E18" s="8" t="s">
        <v>53</v>
      </c>
      <c r="F18" s="9" t="s">
        <v>26</v>
      </c>
      <c r="G18" s="23" t="s">
        <v>27</v>
      </c>
      <c r="H18" s="10"/>
      <c r="I18" s="9" t="s">
        <v>58</v>
      </c>
      <c r="J18" s="9" t="s">
        <v>59</v>
      </c>
    </row>
    <row r="19" spans="2:10" ht="30">
      <c r="B19" s="7" t="s">
        <v>60</v>
      </c>
      <c r="C19" s="26" t="s">
        <v>164</v>
      </c>
      <c r="D19" s="8" t="s">
        <v>61</v>
      </c>
      <c r="E19" s="14" t="s">
        <v>25</v>
      </c>
      <c r="F19" s="9" t="s">
        <v>26</v>
      </c>
      <c r="G19" s="23" t="s">
        <v>27</v>
      </c>
      <c r="H19" s="10"/>
      <c r="I19" s="9" t="s">
        <v>62</v>
      </c>
      <c r="J19" s="9" t="s">
        <v>63</v>
      </c>
    </row>
    <row r="20" spans="2:10" ht="30">
      <c r="B20" s="7" t="s">
        <v>64</v>
      </c>
      <c r="C20" s="26" t="s">
        <v>93</v>
      </c>
      <c r="D20" s="8" t="s">
        <v>11</v>
      </c>
      <c r="E20" s="8" t="s">
        <v>12</v>
      </c>
      <c r="F20" s="9" t="s">
        <v>26</v>
      </c>
      <c r="G20" s="23" t="s">
        <v>27</v>
      </c>
      <c r="H20" s="10"/>
      <c r="I20" s="9" t="s">
        <v>65</v>
      </c>
      <c r="J20" s="9" t="s">
        <v>66</v>
      </c>
    </row>
    <row r="21" spans="2:10" ht="30">
      <c r="B21" s="7" t="s">
        <v>67</v>
      </c>
      <c r="C21" s="26" t="s">
        <v>94</v>
      </c>
      <c r="D21" s="8" t="s">
        <v>11</v>
      </c>
      <c r="E21" s="8" t="s">
        <v>12</v>
      </c>
      <c r="F21" s="9" t="s">
        <v>26</v>
      </c>
      <c r="G21" s="23" t="s">
        <v>27</v>
      </c>
      <c r="H21" s="10"/>
      <c r="I21" s="9" t="s">
        <v>65</v>
      </c>
      <c r="J21" s="9" t="s">
        <v>68</v>
      </c>
    </row>
    <row r="22" spans="2:10" ht="30">
      <c r="B22" s="7" t="s">
        <v>69</v>
      </c>
      <c r="C22" s="26" t="s">
        <v>165</v>
      </c>
      <c r="D22" s="8" t="s">
        <v>11</v>
      </c>
      <c r="E22" s="8" t="s">
        <v>70</v>
      </c>
      <c r="F22" s="9" t="s">
        <v>26</v>
      </c>
      <c r="G22" s="23" t="s">
        <v>27</v>
      </c>
      <c r="H22" s="10"/>
      <c r="I22" s="9" t="s">
        <v>71</v>
      </c>
      <c r="J22" s="9" t="s">
        <v>72</v>
      </c>
    </row>
    <row r="23" spans="2:10" ht="30">
      <c r="B23" s="7" t="s">
        <v>73</v>
      </c>
      <c r="C23" s="26" t="s">
        <v>169</v>
      </c>
      <c r="D23" s="8" t="s">
        <v>74</v>
      </c>
      <c r="E23" s="8" t="s">
        <v>12</v>
      </c>
      <c r="F23" s="9" t="s">
        <v>26</v>
      </c>
      <c r="G23" s="23" t="s">
        <v>27</v>
      </c>
      <c r="H23" s="8" t="s">
        <v>75</v>
      </c>
      <c r="I23" s="9" t="s">
        <v>76</v>
      </c>
      <c r="J23" s="9" t="s">
        <v>77</v>
      </c>
    </row>
    <row r="24" spans="2:10" ht="30">
      <c r="B24" s="7" t="s">
        <v>78</v>
      </c>
      <c r="C24" s="26" t="s">
        <v>166</v>
      </c>
      <c r="D24" s="8" t="s">
        <v>79</v>
      </c>
      <c r="E24" s="8" t="s">
        <v>12</v>
      </c>
      <c r="F24" s="9" t="s">
        <v>26</v>
      </c>
      <c r="G24" s="23" t="s">
        <v>27</v>
      </c>
      <c r="H24" s="8" t="s">
        <v>80</v>
      </c>
      <c r="I24" s="9" t="s">
        <v>81</v>
      </c>
      <c r="J24" s="9" t="s">
        <v>82</v>
      </c>
    </row>
    <row r="25" spans="2:10">
      <c r="C25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4235-01F0-49BE-BF6B-CB4B7585D04A}">
  <dimension ref="B1:J43"/>
  <sheetViews>
    <sheetView showGridLines="0" tabSelected="1" zoomScale="85" zoomScaleNormal="85" workbookViewId="0">
      <selection activeCell="J19" sqref="J19"/>
    </sheetView>
  </sheetViews>
  <sheetFormatPr baseColWidth="10" defaultColWidth="11.28515625" defaultRowHeight="15"/>
  <cols>
    <col min="1" max="1" width="6.85546875" customWidth="1"/>
    <col min="2" max="2" width="27.5703125" customWidth="1"/>
    <col min="3" max="3" width="28.42578125" customWidth="1"/>
    <col min="4" max="4" width="24.42578125" customWidth="1"/>
    <col min="5" max="5" width="18.140625" customWidth="1"/>
    <col min="6" max="6" width="15.5703125" customWidth="1"/>
    <col min="7" max="7" width="15.42578125" style="22" customWidth="1"/>
    <col min="8" max="8" width="21.42578125" customWidth="1"/>
    <col min="9" max="9" width="56.42578125" customWidth="1"/>
    <col min="10" max="10" width="70.85546875" customWidth="1"/>
  </cols>
  <sheetData>
    <row r="1" spans="2:10" ht="70.5" customHeight="1">
      <c r="B1" s="1"/>
    </row>
    <row r="2" spans="2:10" ht="21" customHeight="1">
      <c r="B2" s="2" t="s">
        <v>0</v>
      </c>
      <c r="C2" s="4" t="s">
        <v>173</v>
      </c>
      <c r="D2" s="2" t="s">
        <v>292</v>
      </c>
      <c r="E2" s="4"/>
      <c r="F2" s="4"/>
      <c r="G2" s="4"/>
    </row>
    <row r="4" spans="2:10" ht="21">
      <c r="B4" s="2" t="s">
        <v>83</v>
      </c>
    </row>
    <row r="5" spans="2:10">
      <c r="B5" s="6" t="s">
        <v>2</v>
      </c>
      <c r="C5" s="11" t="s">
        <v>267</v>
      </c>
      <c r="D5" s="6" t="s">
        <v>168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</row>
    <row r="6" spans="2:10">
      <c r="B6" s="7" t="s">
        <v>194</v>
      </c>
      <c r="C6" s="7" t="s">
        <v>194</v>
      </c>
      <c r="D6" s="8" t="s">
        <v>195</v>
      </c>
      <c r="E6" s="8" t="s">
        <v>180</v>
      </c>
      <c r="F6" s="8" t="s">
        <v>181</v>
      </c>
      <c r="G6" s="23" t="s">
        <v>26</v>
      </c>
      <c r="H6" s="23" t="s">
        <v>27</v>
      </c>
      <c r="I6" s="15" t="s">
        <v>193</v>
      </c>
      <c r="J6" s="9" t="s">
        <v>196</v>
      </c>
    </row>
    <row r="7" spans="2:10">
      <c r="B7" s="20" t="s">
        <v>197</v>
      </c>
      <c r="C7" s="20" t="s">
        <v>197</v>
      </c>
      <c r="D7" s="8" t="s">
        <v>198</v>
      </c>
      <c r="E7" s="8" t="s">
        <v>180</v>
      </c>
      <c r="F7" s="8" t="s">
        <v>181</v>
      </c>
      <c r="G7" s="23" t="s">
        <v>26</v>
      </c>
      <c r="H7" s="23" t="s">
        <v>27</v>
      </c>
      <c r="I7" s="15" t="s">
        <v>199</v>
      </c>
      <c r="J7" s="9" t="s">
        <v>200</v>
      </c>
    </row>
    <row r="8" spans="2:10">
      <c r="B8" s="7" t="s">
        <v>84</v>
      </c>
      <c r="C8" s="7" t="s">
        <v>84</v>
      </c>
      <c r="D8" s="8" t="s">
        <v>186</v>
      </c>
      <c r="E8" s="8" t="s">
        <v>85</v>
      </c>
      <c r="F8" s="8" t="s">
        <v>86</v>
      </c>
      <c r="G8" s="23" t="s">
        <v>26</v>
      </c>
      <c r="H8" s="23" t="s">
        <v>27</v>
      </c>
      <c r="I8" s="15">
        <v>1</v>
      </c>
      <c r="J8" s="9" t="s">
        <v>187</v>
      </c>
    </row>
    <row r="9" spans="2:10">
      <c r="B9" s="20" t="s">
        <v>87</v>
      </c>
      <c r="C9" s="20" t="s">
        <v>87</v>
      </c>
      <c r="D9" s="8" t="s">
        <v>188</v>
      </c>
      <c r="E9" s="8" t="s">
        <v>85</v>
      </c>
      <c r="F9" s="8" t="s">
        <v>86</v>
      </c>
      <c r="G9" s="23" t="s">
        <v>26</v>
      </c>
      <c r="H9" s="23" t="s">
        <v>27</v>
      </c>
      <c r="I9" s="15">
        <v>20</v>
      </c>
      <c r="J9" s="9" t="s">
        <v>201</v>
      </c>
    </row>
    <row r="10" spans="2:10">
      <c r="B10" s="20" t="s">
        <v>268</v>
      </c>
      <c r="C10" s="8" t="s">
        <v>9</v>
      </c>
      <c r="D10" s="8" t="s">
        <v>269</v>
      </c>
      <c r="E10" s="8" t="s">
        <v>85</v>
      </c>
      <c r="F10" s="8" t="s">
        <v>86</v>
      </c>
      <c r="G10" s="23" t="s">
        <v>26</v>
      </c>
      <c r="H10" s="23" t="s">
        <v>27</v>
      </c>
      <c r="I10" s="15">
        <v>20</v>
      </c>
      <c r="J10" s="9"/>
    </row>
    <row r="12" spans="2:10" ht="21">
      <c r="B12" s="2" t="s">
        <v>90</v>
      </c>
    </row>
    <row r="13" spans="2:10">
      <c r="B13" s="6" t="s">
        <v>2</v>
      </c>
      <c r="C13" s="11" t="s">
        <v>168</v>
      </c>
      <c r="D13" s="6" t="s">
        <v>3</v>
      </c>
      <c r="E13" s="6" t="s">
        <v>4</v>
      </c>
      <c r="F13" s="6" t="s">
        <v>5</v>
      </c>
      <c r="G13" s="6" t="s">
        <v>6</v>
      </c>
      <c r="H13" s="6" t="s">
        <v>7</v>
      </c>
      <c r="I13" s="6" t="s">
        <v>8</v>
      </c>
      <c r="J13" s="11" t="s">
        <v>9</v>
      </c>
    </row>
    <row r="14" spans="2:10">
      <c r="B14" s="7" t="s">
        <v>270</v>
      </c>
      <c r="C14" s="29" t="s">
        <v>167</v>
      </c>
      <c r="D14" s="15"/>
      <c r="E14" s="15" t="s">
        <v>25</v>
      </c>
      <c r="F14" s="23" t="s">
        <v>13</v>
      </c>
      <c r="G14" s="23" t="s">
        <v>14</v>
      </c>
      <c r="H14" s="8"/>
      <c r="I14" s="9" t="s">
        <v>202</v>
      </c>
      <c r="J14" s="9" t="s">
        <v>271</v>
      </c>
    </row>
    <row r="15" spans="2:10">
      <c r="B15" s="31" t="s">
        <v>266</v>
      </c>
      <c r="C15" s="29" t="s">
        <v>167</v>
      </c>
      <c r="D15" s="15"/>
      <c r="E15" s="15" t="s">
        <v>25</v>
      </c>
      <c r="F15" s="23" t="s">
        <v>13</v>
      </c>
      <c r="G15" s="23" t="s">
        <v>14</v>
      </c>
      <c r="H15" s="8"/>
      <c r="I15" s="9" t="s">
        <v>202</v>
      </c>
      <c r="J15" s="9" t="s">
        <v>272</v>
      </c>
    </row>
    <row r="16" spans="2:10" ht="30">
      <c r="B16" s="32" t="s">
        <v>203</v>
      </c>
      <c r="C16" s="29" t="s">
        <v>204</v>
      </c>
      <c r="D16" s="8" t="s">
        <v>205</v>
      </c>
      <c r="E16" s="8" t="s">
        <v>91</v>
      </c>
      <c r="F16" s="23" t="s">
        <v>92</v>
      </c>
      <c r="G16" s="23" t="s">
        <v>27</v>
      </c>
      <c r="H16" s="8"/>
      <c r="I16" s="9" t="s">
        <v>206</v>
      </c>
      <c r="J16" s="9" t="s">
        <v>273</v>
      </c>
    </row>
    <row r="17" spans="2:10" ht="30">
      <c r="B17" s="34" t="s">
        <v>288</v>
      </c>
      <c r="C17" s="29" t="s">
        <v>207</v>
      </c>
      <c r="D17" s="8" t="s">
        <v>176</v>
      </c>
      <c r="E17" s="8" t="s">
        <v>12</v>
      </c>
      <c r="F17" s="23" t="s">
        <v>13</v>
      </c>
      <c r="G17" s="23" t="s">
        <v>14</v>
      </c>
      <c r="H17" s="8" t="s">
        <v>208</v>
      </c>
      <c r="I17" s="9" t="s">
        <v>209</v>
      </c>
      <c r="J17" s="9" t="str">
        <f>CONCATENATE($J$16,"/",B17)</f>
        <v>/transactionsResponse/data/transactions/transactionID</v>
      </c>
    </row>
    <row r="18" spans="2:10" ht="30">
      <c r="B18" s="34" t="s">
        <v>289</v>
      </c>
      <c r="C18" s="29" t="s">
        <v>210</v>
      </c>
      <c r="D18" s="10" t="s">
        <v>190</v>
      </c>
      <c r="E18" s="8" t="s">
        <v>191</v>
      </c>
      <c r="F18" s="23" t="s">
        <v>13</v>
      </c>
      <c r="G18" s="23" t="s">
        <v>14</v>
      </c>
      <c r="H18" s="8" t="s">
        <v>211</v>
      </c>
      <c r="I18" s="9" t="s">
        <v>212</v>
      </c>
      <c r="J18" s="9" t="str">
        <f t="shared" ref="J18:J23" si="0">CONCATENATE($J$16,"/",B18)</f>
        <v>/transactionsResponse/data/transactions/bookingDateTime</v>
      </c>
    </row>
    <row r="19" spans="2:10" ht="30">
      <c r="B19" s="33" t="s">
        <v>248</v>
      </c>
      <c r="C19" s="30" t="s">
        <v>213</v>
      </c>
      <c r="D19" s="8" t="s">
        <v>214</v>
      </c>
      <c r="E19" s="8" t="s">
        <v>12</v>
      </c>
      <c r="F19" s="23" t="s">
        <v>13</v>
      </c>
      <c r="G19" s="23" t="s">
        <v>14</v>
      </c>
      <c r="H19" s="8" t="s">
        <v>215</v>
      </c>
      <c r="I19" s="9" t="s">
        <v>216</v>
      </c>
      <c r="J19" s="9" t="str">
        <f t="shared" si="0"/>
        <v>/transactionsResponse/data/transactions/transactionsType</v>
      </c>
    </row>
    <row r="20" spans="2:10">
      <c r="B20" s="33" t="s">
        <v>189</v>
      </c>
      <c r="C20" s="30" t="s">
        <v>217</v>
      </c>
      <c r="D20" s="10" t="s">
        <v>184</v>
      </c>
      <c r="E20" s="8" t="s">
        <v>185</v>
      </c>
      <c r="F20" s="23" t="s">
        <v>13</v>
      </c>
      <c r="G20" s="23" t="s">
        <v>14</v>
      </c>
      <c r="H20" s="8" t="s">
        <v>192</v>
      </c>
      <c r="I20" s="9" t="s">
        <v>218</v>
      </c>
      <c r="J20" s="9" t="str">
        <f t="shared" si="0"/>
        <v>/transactionsResponse/data/transactions/amount</v>
      </c>
    </row>
    <row r="21" spans="2:10">
      <c r="B21" s="33" t="s">
        <v>177</v>
      </c>
      <c r="C21" s="30" t="s">
        <v>219</v>
      </c>
      <c r="D21" s="10" t="s">
        <v>178</v>
      </c>
      <c r="E21" s="8" t="s">
        <v>12</v>
      </c>
      <c r="F21" s="23" t="s">
        <v>13</v>
      </c>
      <c r="G21" s="23" t="s">
        <v>14</v>
      </c>
      <c r="H21" s="8" t="s">
        <v>179</v>
      </c>
      <c r="I21" s="9" t="s">
        <v>220</v>
      </c>
      <c r="J21" s="9" t="str">
        <f t="shared" si="0"/>
        <v>/transactionsResponse/data/transactions/currency</v>
      </c>
    </row>
    <row r="22" spans="2:10">
      <c r="B22" s="34" t="s">
        <v>255</v>
      </c>
      <c r="C22" s="29" t="s">
        <v>257</v>
      </c>
      <c r="D22" s="8" t="s">
        <v>79</v>
      </c>
      <c r="E22" s="8" t="s">
        <v>12</v>
      </c>
      <c r="F22" s="23" t="s">
        <v>26</v>
      </c>
      <c r="G22" s="23" t="s">
        <v>27</v>
      </c>
      <c r="H22" s="10" t="s">
        <v>221</v>
      </c>
      <c r="I22" s="9" t="s">
        <v>222</v>
      </c>
      <c r="J22" s="9" t="str">
        <f t="shared" si="0"/>
        <v>/transactionsResponse/data/transactions/paymentPurposeCode</v>
      </c>
    </row>
    <row r="23" spans="2:10">
      <c r="B23" s="34" t="s">
        <v>256</v>
      </c>
      <c r="C23" s="29" t="s">
        <v>258</v>
      </c>
      <c r="D23" s="8" t="s">
        <v>79</v>
      </c>
      <c r="E23" s="8" t="s">
        <v>12</v>
      </c>
      <c r="F23" s="23" t="s">
        <v>26</v>
      </c>
      <c r="G23" s="23" t="s">
        <v>27</v>
      </c>
      <c r="H23" s="10" t="s">
        <v>259</v>
      </c>
      <c r="I23" s="9"/>
      <c r="J23" s="9" t="str">
        <f t="shared" si="0"/>
        <v>/transactionsResponse/data/transactions/categoryPurposeCode</v>
      </c>
    </row>
    <row r="24" spans="2:10" ht="30">
      <c r="B24" s="34" t="s">
        <v>250</v>
      </c>
      <c r="C24" s="29" t="s">
        <v>226</v>
      </c>
      <c r="D24" s="8" t="s">
        <v>227</v>
      </c>
      <c r="E24" s="8" t="s">
        <v>25</v>
      </c>
      <c r="F24" s="24" t="s">
        <v>236</v>
      </c>
      <c r="G24" s="23" t="s">
        <v>27</v>
      </c>
      <c r="H24" s="17"/>
      <c r="I24" s="9" t="s">
        <v>228</v>
      </c>
      <c r="J24" s="9" t="str">
        <f>CONCATENATE($J$16,"/",B24)</f>
        <v>/transactionsResponse/data/transactions/merchantDetails</v>
      </c>
    </row>
    <row r="25" spans="2:10">
      <c r="B25" s="35" t="s">
        <v>274</v>
      </c>
      <c r="C25" s="29" t="s">
        <v>229</v>
      </c>
      <c r="D25" s="8" t="s">
        <v>182</v>
      </c>
      <c r="E25" s="8" t="s">
        <v>12</v>
      </c>
      <c r="F25" s="24" t="s">
        <v>26</v>
      </c>
      <c r="G25" s="23" t="s">
        <v>27</v>
      </c>
      <c r="H25" s="17" t="s">
        <v>230</v>
      </c>
      <c r="I25" s="9" t="s">
        <v>253</v>
      </c>
      <c r="J25" s="9" t="str">
        <f>CONCATENATE($J$24,"/",B25)</f>
        <v>/transactionsResponse/data/transactions/merchantDetails/name</v>
      </c>
    </row>
    <row r="26" spans="2:10">
      <c r="B26" s="35" t="s">
        <v>275</v>
      </c>
      <c r="C26" s="29" t="s">
        <v>231</v>
      </c>
      <c r="D26" s="8" t="s">
        <v>89</v>
      </c>
      <c r="E26" s="8" t="s">
        <v>12</v>
      </c>
      <c r="F26" s="24" t="s">
        <v>26</v>
      </c>
      <c r="G26" s="23" t="s">
        <v>27</v>
      </c>
      <c r="H26" s="17" t="s">
        <v>232</v>
      </c>
      <c r="I26" s="9" t="s">
        <v>233</v>
      </c>
      <c r="J26" s="9" t="str">
        <f t="shared" ref="J26" si="1">CONCATENATE($J$24,"/",B26)</f>
        <v>/transactionsResponse/data/transactions/merchantDetails/category</v>
      </c>
    </row>
    <row r="27" spans="2:10">
      <c r="B27" s="33" t="s">
        <v>279</v>
      </c>
      <c r="C27" s="29" t="s">
        <v>280</v>
      </c>
      <c r="D27" s="8"/>
      <c r="E27" s="8" t="s">
        <v>281</v>
      </c>
      <c r="F27" s="23" t="s">
        <v>26</v>
      </c>
      <c r="G27" s="23" t="s">
        <v>27</v>
      </c>
      <c r="H27" s="17"/>
      <c r="I27" s="9" t="s">
        <v>280</v>
      </c>
      <c r="J27" s="9" t="str">
        <f>CONCATENATE($J$16,"/",B27)</f>
        <v>/transactionsResponse/data/transactions/debtor</v>
      </c>
    </row>
    <row r="28" spans="2:10" ht="30">
      <c r="B28" s="35" t="s">
        <v>282</v>
      </c>
      <c r="C28" s="29" t="s">
        <v>241</v>
      </c>
      <c r="D28" s="8" t="s">
        <v>235</v>
      </c>
      <c r="E28" s="8" t="s">
        <v>12</v>
      </c>
      <c r="F28" s="23" t="s">
        <v>236</v>
      </c>
      <c r="G28" s="23" t="s">
        <v>27</v>
      </c>
      <c r="H28" s="17"/>
      <c r="I28" s="9" t="s">
        <v>242</v>
      </c>
      <c r="J28" s="9" t="str">
        <f>CONCATENATE($J$27,"/",B28)</f>
        <v>/transactionsResponse/data/transactions/debtor/agent</v>
      </c>
    </row>
    <row r="29" spans="2:10">
      <c r="B29" s="35" t="s">
        <v>283</v>
      </c>
      <c r="C29" s="29" t="s">
        <v>290</v>
      </c>
      <c r="D29" s="8" t="s">
        <v>79</v>
      </c>
      <c r="E29" s="8" t="s">
        <v>12</v>
      </c>
      <c r="F29" s="23" t="s">
        <v>236</v>
      </c>
      <c r="G29" s="23" t="s">
        <v>27</v>
      </c>
      <c r="H29" s="17"/>
      <c r="I29" s="9" t="s">
        <v>291</v>
      </c>
      <c r="J29" s="9" t="str">
        <f>CONCATENATE($J$27,"/",B29)</f>
        <v>/transactionsResponse/data/transactions/debtor/address</v>
      </c>
    </row>
    <row r="30" spans="2:10">
      <c r="B30" s="35" t="s">
        <v>175</v>
      </c>
      <c r="C30" s="29" t="s">
        <v>260</v>
      </c>
      <c r="D30" s="8" t="s">
        <v>238</v>
      </c>
      <c r="E30" s="8" t="s">
        <v>12</v>
      </c>
      <c r="F30" s="23" t="s">
        <v>236</v>
      </c>
      <c r="G30" s="23" t="s">
        <v>27</v>
      </c>
      <c r="H30" s="17" t="s">
        <v>239</v>
      </c>
      <c r="I30" s="9" t="s">
        <v>261</v>
      </c>
      <c r="J30" s="9" t="str">
        <f>CONCATENATE($J$27,"/",B30)</f>
        <v>/transactionsResponse/data/transactions/debtor/account</v>
      </c>
    </row>
    <row r="31" spans="2:10" ht="30">
      <c r="B31" s="33" t="s">
        <v>262</v>
      </c>
      <c r="C31" s="29" t="s">
        <v>263</v>
      </c>
      <c r="D31" s="8"/>
      <c r="E31" s="8" t="s">
        <v>91</v>
      </c>
      <c r="F31" s="23" t="s">
        <v>92</v>
      </c>
      <c r="G31" s="23" t="s">
        <v>27</v>
      </c>
      <c r="H31" s="17"/>
      <c r="I31" s="9"/>
      <c r="J31" s="9" t="str">
        <f t="shared" ref="J31" si="2">CONCATENATE($J$16,"/",B31)</f>
        <v>/transactionsResponse/data/transactions/cardInstrument</v>
      </c>
    </row>
    <row r="32" spans="2:10">
      <c r="B32" s="35" t="s">
        <v>293</v>
      </c>
      <c r="C32" s="29" t="s">
        <v>264</v>
      </c>
      <c r="D32" s="8"/>
      <c r="E32" s="8" t="s">
        <v>12</v>
      </c>
      <c r="F32" s="23" t="s">
        <v>13</v>
      </c>
      <c r="G32" s="23" t="s">
        <v>27</v>
      </c>
      <c r="H32" s="17" t="s">
        <v>265</v>
      </c>
      <c r="I32" s="9"/>
      <c r="J32" s="9" t="str">
        <f>CONCATENATE($J$31,"/",B32)</f>
        <v>/transactionsResponse/data/transactions/cardInstrument/scheme</v>
      </c>
    </row>
    <row r="33" spans="2:10">
      <c r="B33" s="33" t="s">
        <v>284</v>
      </c>
      <c r="C33" s="29" t="s">
        <v>285</v>
      </c>
      <c r="D33" s="8"/>
      <c r="E33" s="8" t="s">
        <v>25</v>
      </c>
      <c r="F33" s="23" t="s">
        <v>236</v>
      </c>
      <c r="G33" s="23" t="s">
        <v>27</v>
      </c>
      <c r="H33" s="17"/>
      <c r="I33" s="9" t="s">
        <v>285</v>
      </c>
      <c r="J33" s="9" t="str">
        <f>CONCATENATE($J$31,"/",B33)</f>
        <v>/transactionsResponse/data/transactions/cardInstrument/creditor</v>
      </c>
    </row>
    <row r="34" spans="2:10">
      <c r="B34" s="35" t="s">
        <v>282</v>
      </c>
      <c r="C34" s="29" t="s">
        <v>234</v>
      </c>
      <c r="D34" s="8" t="s">
        <v>235</v>
      </c>
      <c r="E34" s="8" t="s">
        <v>12</v>
      </c>
      <c r="F34" s="23" t="s">
        <v>236</v>
      </c>
      <c r="G34" s="23" t="s">
        <v>27</v>
      </c>
      <c r="H34" s="17"/>
      <c r="I34" s="9" t="s">
        <v>254</v>
      </c>
      <c r="J34" s="9" t="str">
        <f>CONCATENATE($J$33,"/",B34)</f>
        <v>/transactionsResponse/data/transactions/cardInstrument/creditor/agent</v>
      </c>
    </row>
    <row r="35" spans="2:10">
      <c r="B35" s="35" t="s">
        <v>283</v>
      </c>
      <c r="C35" s="29" t="s">
        <v>276</v>
      </c>
      <c r="D35" s="8" t="s">
        <v>79</v>
      </c>
      <c r="E35" s="8" t="s">
        <v>12</v>
      </c>
      <c r="F35" s="23" t="s">
        <v>236</v>
      </c>
      <c r="G35" s="23" t="s">
        <v>27</v>
      </c>
      <c r="H35" s="17"/>
      <c r="I35" s="9"/>
      <c r="J35" s="9" t="str">
        <f>CONCATENATE($J$33,"/",B35)</f>
        <v>/transactionsResponse/data/transactions/cardInstrument/creditor/address</v>
      </c>
    </row>
    <row r="36" spans="2:10">
      <c r="B36" s="35" t="s">
        <v>175</v>
      </c>
      <c r="C36" s="29" t="s">
        <v>237</v>
      </c>
      <c r="D36" s="8" t="s">
        <v>238</v>
      </c>
      <c r="E36" s="8" t="s">
        <v>12</v>
      </c>
      <c r="F36" s="23" t="s">
        <v>236</v>
      </c>
      <c r="G36" s="23" t="s">
        <v>27</v>
      </c>
      <c r="H36" s="17" t="s">
        <v>239</v>
      </c>
      <c r="I36" s="9" t="s">
        <v>240</v>
      </c>
      <c r="J36" s="9" t="str">
        <f>CONCATENATE($J$33,"/",B36)</f>
        <v>/transactionsResponse/data/transactions/cardInstrument/creditor/account</v>
      </c>
    </row>
    <row r="37" spans="2:10">
      <c r="B37" s="33" t="s">
        <v>251</v>
      </c>
      <c r="C37" s="29" t="s">
        <v>286</v>
      </c>
      <c r="D37" s="8" t="s">
        <v>281</v>
      </c>
      <c r="E37" s="8" t="s">
        <v>25</v>
      </c>
      <c r="F37" s="23" t="s">
        <v>26</v>
      </c>
      <c r="G37" s="23" t="s">
        <v>27</v>
      </c>
      <c r="H37" s="17"/>
      <c r="I37" s="9"/>
      <c r="J37" s="9" t="str">
        <f t="shared" ref="J37" si="3">CONCATENATE($J$16,"/",B37)</f>
        <v>/transactionsResponse/data/transactions/ultimateCreditor</v>
      </c>
    </row>
    <row r="38" spans="2:10" ht="30">
      <c r="B38" s="35" t="s">
        <v>274</v>
      </c>
      <c r="C38" s="29" t="s">
        <v>243</v>
      </c>
      <c r="D38" s="8" t="s">
        <v>182</v>
      </c>
      <c r="E38" s="8" t="s">
        <v>12</v>
      </c>
      <c r="F38" s="23" t="s">
        <v>26</v>
      </c>
      <c r="G38" s="23" t="s">
        <v>27</v>
      </c>
      <c r="H38" s="17" t="s">
        <v>244</v>
      </c>
      <c r="I38" s="9" t="s">
        <v>245</v>
      </c>
      <c r="J38" s="9" t="str">
        <f>CONCATENATE($J$37,"/",B38)</f>
        <v>/transactionsResponse/data/transactions/ultimateCreditor/name</v>
      </c>
    </row>
    <row r="39" spans="2:10">
      <c r="B39" s="35" t="s">
        <v>283</v>
      </c>
      <c r="C39" s="29" t="s">
        <v>277</v>
      </c>
      <c r="D39" s="8" t="s">
        <v>79</v>
      </c>
      <c r="E39" s="8" t="s">
        <v>12</v>
      </c>
      <c r="F39" s="23" t="s">
        <v>26</v>
      </c>
      <c r="G39" s="23" t="s">
        <v>27</v>
      </c>
      <c r="H39" s="17"/>
      <c r="I39" s="9"/>
      <c r="J39" s="9" t="str">
        <f t="shared" ref="J39" si="4">CONCATENATE($J$37,"/",B39)</f>
        <v>/transactionsResponse/data/transactions/ultimateCreditor/address</v>
      </c>
    </row>
    <row r="40" spans="2:10">
      <c r="B40" s="33" t="s">
        <v>252</v>
      </c>
      <c r="C40" s="29" t="s">
        <v>287</v>
      </c>
      <c r="D40" s="8" t="s">
        <v>281</v>
      </c>
      <c r="E40" s="8" t="s">
        <v>25</v>
      </c>
      <c r="F40" s="23" t="s">
        <v>26</v>
      </c>
      <c r="G40" s="23" t="s">
        <v>27</v>
      </c>
      <c r="H40" s="17"/>
      <c r="I40" s="9"/>
      <c r="J40" s="9" t="str">
        <f t="shared" ref="J40" si="5">CONCATENATE($J$37,"/",B40)</f>
        <v>/transactionsResponse/data/transactions/ultimateCreditor/ultimateDebtor</v>
      </c>
    </row>
    <row r="41" spans="2:10" ht="30">
      <c r="B41" s="35" t="s">
        <v>274</v>
      </c>
      <c r="C41" s="29" t="s">
        <v>246</v>
      </c>
      <c r="D41" s="8" t="s">
        <v>182</v>
      </c>
      <c r="E41" s="8" t="s">
        <v>12</v>
      </c>
      <c r="F41" s="23" t="s">
        <v>26</v>
      </c>
      <c r="G41" s="23" t="s">
        <v>27</v>
      </c>
      <c r="H41" s="17" t="s">
        <v>183</v>
      </c>
      <c r="I41" s="9" t="s">
        <v>247</v>
      </c>
      <c r="J41" s="9" t="str">
        <f>CONCATENATE($J$40,"/",B41)</f>
        <v>/transactionsResponse/data/transactions/ultimateCreditor/ultimateDebtor/name</v>
      </c>
    </row>
    <row r="42" spans="2:10" ht="30">
      <c r="B42" s="35" t="s">
        <v>283</v>
      </c>
      <c r="C42" s="29" t="s">
        <v>278</v>
      </c>
      <c r="D42" s="8" t="s">
        <v>79</v>
      </c>
      <c r="E42" s="8" t="s">
        <v>12</v>
      </c>
      <c r="F42" s="23" t="s">
        <v>26</v>
      </c>
      <c r="G42" s="23" t="s">
        <v>27</v>
      </c>
      <c r="H42" s="17"/>
      <c r="I42" s="9"/>
      <c r="J42" s="9" t="str">
        <f>CONCATENATE($J$40,"/",B42)</f>
        <v>/transactionsResponse/data/transactions/ultimateCreditor/ultimateDebtor/address</v>
      </c>
    </row>
    <row r="43" spans="2:10">
      <c r="B43" s="33" t="s">
        <v>249</v>
      </c>
      <c r="C43" s="29" t="s">
        <v>223</v>
      </c>
      <c r="D43" s="8" t="s">
        <v>184</v>
      </c>
      <c r="E43" s="8" t="s">
        <v>185</v>
      </c>
      <c r="F43" s="23" t="s">
        <v>26</v>
      </c>
      <c r="G43" s="23" t="s">
        <v>27</v>
      </c>
      <c r="H43" s="16" t="s">
        <v>224</v>
      </c>
      <c r="I43" s="9" t="s">
        <v>225</v>
      </c>
      <c r="J43" s="9" t="str">
        <f t="shared" ref="J43" si="6">CONCATENATE($J$16,"/",B43)</f>
        <v>/transactionsResponse/data/transactions/balanceAfter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9A07-A82E-429B-91D7-2194EFD9CA24}">
  <sheetPr>
    <tabColor rgb="FFFF0000"/>
  </sheetPr>
  <dimension ref="A1:C19"/>
  <sheetViews>
    <sheetView showGridLines="0" workbookViewId="0">
      <selection activeCell="B18" sqref="B18"/>
    </sheetView>
  </sheetViews>
  <sheetFormatPr baseColWidth="10" defaultColWidth="11.28515625" defaultRowHeight="15"/>
  <cols>
    <col min="1" max="1" width="34.140625" customWidth="1"/>
    <col min="2" max="2" width="35.7109375" style="13" customWidth="1"/>
    <col min="3" max="3" width="43" style="13" customWidth="1"/>
  </cols>
  <sheetData>
    <row r="1" spans="1:3">
      <c r="A1" s="6" t="s">
        <v>95</v>
      </c>
      <c r="B1" s="6" t="s">
        <v>96</v>
      </c>
      <c r="C1" s="6" t="s">
        <v>97</v>
      </c>
    </row>
    <row r="2" spans="1:3" ht="45">
      <c r="A2" s="12" t="s">
        <v>98</v>
      </c>
      <c r="B2" s="9" t="s">
        <v>99</v>
      </c>
      <c r="C2" s="9" t="s">
        <v>100</v>
      </c>
    </row>
    <row r="3" spans="1:3" ht="45">
      <c r="A3" s="12" t="s">
        <v>101</v>
      </c>
      <c r="B3" s="9" t="s">
        <v>102</v>
      </c>
      <c r="C3" s="9" t="s">
        <v>103</v>
      </c>
    </row>
    <row r="4" spans="1:3" ht="45">
      <c r="A4" s="12" t="s">
        <v>104</v>
      </c>
      <c r="B4" s="9" t="s">
        <v>105</v>
      </c>
      <c r="C4" s="9" t="s">
        <v>106</v>
      </c>
    </row>
    <row r="5" spans="1:3" ht="45">
      <c r="A5" s="12" t="s">
        <v>107</v>
      </c>
      <c r="B5" s="9" t="s">
        <v>108</v>
      </c>
      <c r="C5" s="9" t="s">
        <v>109</v>
      </c>
    </row>
    <row r="6" spans="1:3" ht="45">
      <c r="A6" s="12" t="s">
        <v>110</v>
      </c>
      <c r="B6" s="9" t="s">
        <v>111</v>
      </c>
      <c r="C6" s="9" t="s">
        <v>112</v>
      </c>
    </row>
    <row r="7" spans="1:3" ht="60">
      <c r="A7" s="12" t="s">
        <v>113</v>
      </c>
      <c r="B7" s="9" t="s">
        <v>114</v>
      </c>
      <c r="C7" s="9" t="s">
        <v>115</v>
      </c>
    </row>
    <row r="8" spans="1:3" ht="30">
      <c r="A8" s="12" t="s">
        <v>116</v>
      </c>
      <c r="B8" s="9" t="s">
        <v>117</v>
      </c>
      <c r="C8" s="9" t="s">
        <v>118</v>
      </c>
    </row>
    <row r="9" spans="1:3" ht="60">
      <c r="A9" s="12" t="s">
        <v>119</v>
      </c>
      <c r="B9" s="9" t="s">
        <v>120</v>
      </c>
      <c r="C9" s="9" t="s">
        <v>121</v>
      </c>
    </row>
    <row r="10" spans="1:3" ht="45">
      <c r="A10" s="12" t="s">
        <v>122</v>
      </c>
      <c r="B10" s="9" t="s">
        <v>123</v>
      </c>
      <c r="C10" s="9" t="s">
        <v>124</v>
      </c>
    </row>
    <row r="11" spans="1:3" ht="45">
      <c r="A11" s="12" t="s">
        <v>125</v>
      </c>
      <c r="B11" s="9" t="s">
        <v>126</v>
      </c>
      <c r="C11" s="9" t="s">
        <v>127</v>
      </c>
    </row>
    <row r="12" spans="1:3" ht="60">
      <c r="A12" s="12" t="s">
        <v>128</v>
      </c>
      <c r="B12" s="9" t="s">
        <v>129</v>
      </c>
      <c r="C12" s="9" t="s">
        <v>130</v>
      </c>
    </row>
    <row r="13" spans="1:3" ht="45">
      <c r="A13" s="12" t="s">
        <v>131</v>
      </c>
      <c r="B13" s="9" t="s">
        <v>132</v>
      </c>
      <c r="C13" s="9" t="s">
        <v>133</v>
      </c>
    </row>
    <row r="14" spans="1:3" ht="45">
      <c r="A14" s="12" t="s">
        <v>134</v>
      </c>
      <c r="B14" s="9" t="s">
        <v>135</v>
      </c>
      <c r="C14" s="9" t="s">
        <v>136</v>
      </c>
    </row>
    <row r="15" spans="1:3" ht="45">
      <c r="A15" s="12" t="s">
        <v>137</v>
      </c>
      <c r="B15" s="9" t="s">
        <v>138</v>
      </c>
      <c r="C15" s="9" t="s">
        <v>139</v>
      </c>
    </row>
    <row r="16" spans="1:3" ht="30">
      <c r="A16" s="12" t="s">
        <v>140</v>
      </c>
      <c r="B16" s="9" t="s">
        <v>141</v>
      </c>
      <c r="C16" s="9" t="s">
        <v>142</v>
      </c>
    </row>
    <row r="17" spans="1:3" ht="45">
      <c r="A17" s="12" t="s">
        <v>143</v>
      </c>
      <c r="B17" s="9" t="s">
        <v>144</v>
      </c>
      <c r="C17" s="9" t="s">
        <v>145</v>
      </c>
    </row>
    <row r="18" spans="1:3" ht="30">
      <c r="A18" s="12" t="s">
        <v>146</v>
      </c>
      <c r="B18" s="9" t="s">
        <v>147</v>
      </c>
      <c r="C18" s="9" t="s">
        <v>148</v>
      </c>
    </row>
    <row r="19" spans="1:3" ht="45">
      <c r="A19" s="12" t="s">
        <v>149</v>
      </c>
      <c r="B19" s="9" t="s">
        <v>150</v>
      </c>
      <c r="C19" s="9" t="s">
        <v>151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0e421e-ede3-43a3-a0a6-8952a07c65cd" xsi:nil="true"/>
    <lcf76f155ced4ddcb4097134ff3c332f xmlns="d0fc2641-02eb-454a-b72e-466eabe080b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CFE3FA-53EC-4609-A110-AD13F091D994}">
  <ds:schemaRefs>
    <ds:schemaRef ds:uri="http://schemas.microsoft.com/office/2006/metadata/properties"/>
    <ds:schemaRef ds:uri="http://schemas.microsoft.com/office/infopath/2007/PartnerControls"/>
    <ds:schemaRef ds:uri="a30e421e-ede3-43a3-a0a6-8952a07c65cd"/>
    <ds:schemaRef ds:uri="d0fc2641-02eb-454a-b72e-466eabe080b9"/>
  </ds:schemaRefs>
</ds:datastoreItem>
</file>

<file path=customXml/itemProps2.xml><?xml version="1.0" encoding="utf-8"?>
<ds:datastoreItem xmlns:ds="http://schemas.openxmlformats.org/officeDocument/2006/customXml" ds:itemID="{41E861E1-2E03-4A14-90CB-CCE469785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57A5B8-2D3B-4A92-922A-430F16228EB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presential-channel</vt:lpstr>
      <vt:lpstr>AccountID-transactions</vt:lpstr>
      <vt:lpstr>Códigos de error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Lema Collaguazo, Jonathan Francisco</cp:lastModifiedBy>
  <cp:revision/>
  <dcterms:created xsi:type="dcterms:W3CDTF">2025-01-27T18:33:56Z</dcterms:created>
  <dcterms:modified xsi:type="dcterms:W3CDTF">2025-06-03T14:45:37Z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