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5. Enrolamiento/01. Persona Natural/"/>
    </mc:Choice>
  </mc:AlternateContent>
  <xr:revisionPtr revIDLastSave="17" documentId="8_{D69E80BC-0F3E-4A5B-98F2-5147FE114D7A}" xr6:coauthVersionLast="47" xr6:coauthVersionMax="47" xr10:uidLastSave="{65DFCF07-CF49-43E6-952E-57638DA12FAF}"/>
  <bookViews>
    <workbookView xWindow="-120" yWindow="-120" windowWidth="38640" windowHeight="15720" tabRatio="593" xr2:uid="{34AFFF4D-D5F8-4A80-8BA0-C45FDE7B9B7C}"/>
  </bookViews>
  <sheets>
    <sheet name="customers-pn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7" l="1"/>
  <c r="J13" i="7" s="1"/>
  <c r="J14" i="7" s="1"/>
  <c r="J26" i="7" l="1"/>
  <c r="J31" i="7"/>
  <c r="J32" i="7"/>
  <c r="J17" i="7"/>
  <c r="J15" i="7"/>
  <c r="J18" i="7"/>
  <c r="J19" i="7"/>
  <c r="J16" i="7"/>
  <c r="J20" i="7"/>
  <c r="J21" i="7"/>
  <c r="J22" i="7"/>
  <c r="J23" i="7"/>
  <c r="J24" i="7"/>
  <c r="J25" i="7"/>
  <c r="J28" i="7" l="1"/>
  <c r="J29" i="7"/>
  <c r="J30" i="7"/>
  <c r="J27" i="7"/>
</calcChain>
</file>

<file path=xl/sharedStrings.xml><?xml version="1.0" encoding="utf-8"?>
<sst xmlns="http://schemas.openxmlformats.org/spreadsheetml/2006/main" count="202" uniqueCount="123">
  <si>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</si>
  <si>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</si>
  <si>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</si>
  <si>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</si>
  <si>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</si>
  <si>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</si>
  <si>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</si>
  <si>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</si>
  <si>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</si>
  <si>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Max35Text</t>
  </si>
  <si>
    <t>string</t>
  </si>
  <si>
    <t>[1..1]</t>
  </si>
  <si>
    <t>Sí</t>
  </si>
  <si>
    <t>object</t>
  </si>
  <si>
    <t>[0..1]</t>
  </si>
  <si>
    <t>No</t>
  </si>
  <si>
    <t>streetName</t>
  </si>
  <si>
    <t>buildingNumber</t>
  </si>
  <si>
    <t>PhoneNumber</t>
  </si>
  <si>
    <t>Max256Text</t>
  </si>
  <si>
    <t>Recurso: GET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</si>
  <si>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</si>
  <si>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</si>
  <si>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</si>
  <si>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</si>
  <si>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</si>
  <si>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</si>
  <si>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</si>
  <si>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</si>
  <si>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Ciudad</t>
  </si>
  <si>
    <t>Código Postal</t>
  </si>
  <si>
    <t>Glosa FieldName</t>
  </si>
  <si>
    <t>ISODate</t>
  </si>
  <si>
    <t>string (date)</t>
  </si>
  <si>
    <t>Max140Text</t>
  </si>
  <si>
    <t>"Juan Pérez"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</si>
  <si>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</si>
  <si>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</si>
  <si>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</si>
  <si>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</si>
  <si>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Type Request</t>
  </si>
  <si>
    <t>Query Param</t>
  </si>
  <si>
    <t>Customers</t>
  </si>
  <si>
    <t>Objeto raíz</t>
  </si>
  <si>
    <t>-</t>
  </si>
  <si>
    <t>Contenedor principal de la respuesta.</t>
  </si>
  <si>
    <t>pnCustomer</t>
  </si>
  <si>
    <t>Información de Persona Natural</t>
  </si>
  <si>
    <t>CustomerType (obj)</t>
  </si>
  <si>
    <t>Datos específicos de la persona natural.</t>
  </si>
  <si>
    <t>Nombre del cliente</t>
  </si>
  <si>
    <t>Nombre completo de la persona natural.</t>
  </si>
  <si>
    <t>RUT de la persona natural</t>
  </si>
  <si>
    <t>RUTType</t>
  </si>
  <si>
    <t>"11111111-1"</t>
  </si>
  <si>
    <t>Formato: NNNNNNNN-K.</t>
  </si>
  <si>
    <t>Fecha de inicio de relación</t>
  </si>
  <si>
    <t>"2020-01-01"</t>
  </si>
  <si>
    <t>Fecha en la cual la persona inició la relación con la institución.</t>
  </si>
  <si>
    <t>Correo electrónico</t>
  </si>
  <si>
    <t>"juan@example.com"</t>
  </si>
  <si>
    <t>Dirección de e-mail de contacto.</t>
  </si>
  <si>
    <t>Teléfono</t>
  </si>
  <si>
    <t>"+56 9 12345678"</t>
  </si>
  <si>
    <t>Número de teléfono de contacto (celular o fijo).</t>
  </si>
  <si>
    <t>Representante legal</t>
  </si>
  <si>
    <t>No aplica en la mayoría de los casos para persona natural, se deja opcional por uniformidad.</t>
  </si>
  <si>
    <t>RUT del representante legal</t>
  </si>
  <si>
    <t>No aplica en la mayoría de los casos para persona natural.</t>
  </si>
  <si>
    <t>Fecha de Nacimiento</t>
  </si>
  <si>
    <t>"1990-05-12"</t>
  </si>
  <si>
    <t>Útil para verificación de mayoría de edad, segmentación demográfica, u otros fines de scoring.</t>
  </si>
  <si>
    <t>Estado Civil</t>
  </si>
  <si>
    <t>MaritalStatusCode</t>
  </si>
  <si>
    <t>"SINGLE"</t>
  </si>
  <si>
    <t>Podría utilizarse para análisis de riesgo, segmentación de seguros o para productos específicos (hipotecas, etc.).</t>
  </si>
  <si>
    <t>Ocupación/Profesión</t>
  </si>
  <si>
    <t>"Ingeniero de Software"</t>
  </si>
  <si>
    <t>Permite segmentar o estimar capacidad de pago y riesgo.</t>
  </si>
  <si>
    <t>Rango de Ingresos Mensuales</t>
  </si>
  <si>
    <t>IncomeRangeType</t>
  </si>
  <si>
    <t>"CLP 1.000.000 - CLP 2.000.000"</t>
  </si>
  <si>
    <t>Útil para scoring crediticio y propuesta de productos (tarjetas, créditos).</t>
  </si>
  <si>
    <t>Dirección (objeto)</t>
  </si>
  <si>
    <t>PostalAddressType</t>
  </si>
  <si>
    <t>Para verificar residencia, y/o envío de correspondencia.</t>
  </si>
  <si>
    <t>Nombre de Calle</t>
  </si>
  <si>
    <t>"Av. Providencia"</t>
  </si>
  <si>
    <t>Campo típico de dirección postal.</t>
  </si>
  <si>
    <t>Número de Edificio</t>
  </si>
  <si>
    <t>Max16Text</t>
  </si>
  <si>
    <t>"1234"</t>
  </si>
  <si>
    <t>Puede incluir depto, oficina, etc.</t>
  </si>
  <si>
    <t>"Santiago"</t>
  </si>
  <si>
    <t>Campo ciudad.</t>
  </si>
  <si>
    <t>"7500000"</t>
  </si>
  <si>
    <t>Código postal o ZIP.</t>
  </si>
  <si>
    <t>Indicador PEP</t>
  </si>
  <si>
    <t>PEPCustomerStatus</t>
  </si>
  <si>
    <t>"PEP", "NON_PEP"</t>
  </si>
  <si>
    <t>Politically Exposed Person: permite manejo AML/KYC.</t>
  </si>
  <si>
    <t>Estado KYC</t>
  </si>
  <si>
    <t>KYCStatusCode</t>
  </si>
  <si>
    <t>"VERIFIED"</t>
  </si>
  <si>
    <t>Para indicar si pasó validaciones KYC (Verified, Pending, etc.).</t>
  </si>
  <si>
    <t>data</t>
  </si>
  <si>
    <t>customerName</t>
  </si>
  <si>
    <t>rut</t>
  </si>
  <si>
    <t>startDate</t>
  </si>
  <si>
    <t>emailAddress</t>
  </si>
  <si>
    <t>phoneNumber</t>
  </si>
  <si>
    <t>legalRepresentative</t>
  </si>
  <si>
    <t>legalRepresentativeRUT</t>
  </si>
  <si>
    <t>address</t>
  </si>
  <si>
    <t>pepStatus</t>
  </si>
  <si>
    <t>kycStatus</t>
  </si>
  <si>
    <t>postalCode</t>
  </si>
  <si>
    <t>customerPNResponse</t>
  </si>
  <si>
    <t>dateOfBirth</t>
  </si>
  <si>
    <t>maritalStatus</t>
  </si>
  <si>
    <t>occupation</t>
  </si>
  <si>
    <t>monthlyIncomeRange</t>
  </si>
  <si>
    <t>/customers/v1/customer/pn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</si>
</sst>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20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2"/>
    </xf>
    <xf numFmtId="0" fontId="0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731556</xdr:colOff>
      <xdr:row>0</xdr:row>
      <xdr:rowOff>572333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C624BB1-3067-43C2-9B04-9D3F839E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J33"/>
  <sheetViews>
    <sheetView showGridLines="0" tabSelected="1" zoomScale="85" zoomScaleNormal="85" workbookViewId="0">
      <selection activeCell="F41" sqref="F41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6.85546875" bestFit="1" customWidth="1"/>
    <col min="4" max="4" width="19.7109375" bestFit="1" customWidth="1"/>
    <col min="5" max="5" width="18.85546875" bestFit="1" customWidth="1"/>
    <col min="6" max="6" width="16.140625" style="14" customWidth="1"/>
    <col min="7" max="7" width="15.28515625" customWidth="1"/>
    <col min="8" max="8" width="23.140625" customWidth="1"/>
    <col min="9" max="9" width="58.42578125" bestFit="1" customWidth="1"/>
    <col min="10" max="10" width="67.5703125" customWidth="1"/>
  </cols>
  <sheetData>
    <row r="1" spans="2:10" ht="70.5" customHeight="1">
      <c r="B1" s="1"/>
    </row>
    <row r="2" spans="2:10" ht="21" customHeight="1">
      <c r="B2" s="2" t="s">
        <v>0</v>
      </c>
      <c r="C2" s="3" t="s">
        <v>42</v>
      </c>
      <c r="D2" s="2" t="s">
        <v>20</v>
      </c>
      <c r="E2" s="24" t="s">
        <v>122</v>
      </c>
      <c r="F2" s="25"/>
    </row>
    <row r="4" spans="2:10" ht="21">
      <c r="B4" s="2" t="s">
        <v>21</v>
      </c>
    </row>
    <row r="5" spans="2:10" ht="11.25" customHeight="1">
      <c r="B5" s="2"/>
    </row>
    <row r="6" spans="2:10">
      <c r="B6" s="4" t="s">
        <v>1</v>
      </c>
      <c r="C6" s="9" t="s">
        <v>31</v>
      </c>
      <c r="D6" s="9" t="s">
        <v>40</v>
      </c>
      <c r="E6" s="4" t="s">
        <v>2</v>
      </c>
      <c r="F6" s="9" t="s">
        <v>3</v>
      </c>
      <c r="G6" s="4" t="s">
        <v>4</v>
      </c>
      <c r="H6" s="4" t="s">
        <v>5</v>
      </c>
      <c r="I6" s="4" t="s">
        <v>6</v>
      </c>
      <c r="J6" s="4" t="s">
        <v>7</v>
      </c>
    </row>
    <row r="7" spans="2:10">
      <c r="B7" s="5" t="s">
        <v>22</v>
      </c>
      <c r="C7" s="6" t="s">
        <v>36</v>
      </c>
      <c r="D7" s="6" t="s">
        <v>41</v>
      </c>
      <c r="E7" s="6" t="s">
        <v>23</v>
      </c>
      <c r="F7" s="10" t="s">
        <v>24</v>
      </c>
      <c r="G7" s="15" t="s">
        <v>14</v>
      </c>
      <c r="H7" s="15" t="s">
        <v>15</v>
      </c>
      <c r="I7" s="10">
        <v>1</v>
      </c>
      <c r="J7" s="7" t="s">
        <v>37</v>
      </c>
    </row>
    <row r="8" spans="2:10">
      <c r="B8" s="13" t="s">
        <v>25</v>
      </c>
      <c r="C8" s="6" t="s">
        <v>38</v>
      </c>
      <c r="D8" s="6" t="s">
        <v>41</v>
      </c>
      <c r="E8" s="6" t="s">
        <v>23</v>
      </c>
      <c r="F8" s="10" t="s">
        <v>24</v>
      </c>
      <c r="G8" s="15" t="s">
        <v>14</v>
      </c>
      <c r="H8" s="15" t="s">
        <v>15</v>
      </c>
      <c r="I8" s="10">
        <v>20</v>
      </c>
      <c r="J8" s="7" t="s">
        <v>39</v>
      </c>
    </row>
    <row r="10" spans="2:10" ht="21">
      <c r="B10" s="2" t="s">
        <v>28</v>
      </c>
    </row>
    <row r="11" spans="2:10">
      <c r="B11" s="4" t="s">
        <v>1</v>
      </c>
      <c r="C11" s="9" t="s">
        <v>31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9" t="s">
        <v>8</v>
      </c>
    </row>
    <row r="12" spans="2:10">
      <c r="B12" s="5" t="s">
        <v>117</v>
      </c>
      <c r="C12" s="16" t="s">
        <v>43</v>
      </c>
      <c r="D12" s="6" t="s">
        <v>44</v>
      </c>
      <c r="E12" s="6" t="s">
        <v>13</v>
      </c>
      <c r="F12" s="15" t="s">
        <v>11</v>
      </c>
      <c r="G12" s="15" t="s">
        <v>12</v>
      </c>
      <c r="H12" s="6"/>
      <c r="I12" s="7" t="s">
        <v>45</v>
      </c>
      <c r="J12" s="7" t="str">
        <f>B12</f>
        <v>customerPNResponse</v>
      </c>
    </row>
    <row r="13" spans="2:10">
      <c r="B13" s="23" t="s">
        <v>105</v>
      </c>
      <c r="C13" s="16" t="s">
        <v>43</v>
      </c>
      <c r="D13" s="6" t="s">
        <v>44</v>
      </c>
      <c r="E13" s="6" t="s">
        <v>13</v>
      </c>
      <c r="F13" s="15" t="s">
        <v>11</v>
      </c>
      <c r="G13" s="15" t="s">
        <v>12</v>
      </c>
      <c r="H13" s="6"/>
      <c r="I13" s="7" t="s">
        <v>45</v>
      </c>
      <c r="J13" s="7" t="str">
        <f>CONCATENATE("/",J12,"/",B13)</f>
        <v>/customerPNResponse/data</v>
      </c>
    </row>
    <row r="14" spans="2:10" ht="30">
      <c r="B14" s="19" t="s">
        <v>46</v>
      </c>
      <c r="C14" s="16" t="s">
        <v>47</v>
      </c>
      <c r="D14" s="6" t="s">
        <v>48</v>
      </c>
      <c r="E14" s="6" t="s">
        <v>13</v>
      </c>
      <c r="F14" s="15" t="s">
        <v>11</v>
      </c>
      <c r="G14" s="15" t="s">
        <v>12</v>
      </c>
      <c r="H14" s="6"/>
      <c r="I14" s="7" t="s">
        <v>49</v>
      </c>
      <c r="J14" s="7" t="str">
        <f>CONCATENATE(J13,"/",B14)</f>
        <v>/customerPNResponse/data/pnCustomer</v>
      </c>
    </row>
    <row r="15" spans="2:10">
      <c r="B15" s="19" t="s">
        <v>106</v>
      </c>
      <c r="C15" s="16" t="s">
        <v>50</v>
      </c>
      <c r="D15" s="6" t="s">
        <v>34</v>
      </c>
      <c r="E15" s="6" t="s">
        <v>10</v>
      </c>
      <c r="F15" s="15" t="s">
        <v>11</v>
      </c>
      <c r="G15" s="15" t="s">
        <v>12</v>
      </c>
      <c r="H15" s="6" t="s">
        <v>35</v>
      </c>
      <c r="I15" s="7" t="s">
        <v>51</v>
      </c>
      <c r="J15" s="7" t="str">
        <f t="shared" ref="J15:J26" si="0">CONCATENATE($J$14,"/",B15)</f>
        <v>/customerPNResponse/data/pnCustomer/customerName</v>
      </c>
    </row>
    <row r="16" spans="2:10">
      <c r="B16" s="27" t="s">
        <v>107</v>
      </c>
      <c r="C16" s="17" t="s">
        <v>52</v>
      </c>
      <c r="D16" s="6" t="s">
        <v>53</v>
      </c>
      <c r="E16" s="6" t="s">
        <v>10</v>
      </c>
      <c r="F16" s="15" t="s">
        <v>11</v>
      </c>
      <c r="G16" s="15" t="s">
        <v>12</v>
      </c>
      <c r="H16" s="6" t="s">
        <v>54</v>
      </c>
      <c r="I16" s="7" t="s">
        <v>55</v>
      </c>
      <c r="J16" s="7" t="str">
        <f t="shared" si="0"/>
        <v>/customerPNResponse/data/pnCustomer/rut</v>
      </c>
    </row>
    <row r="17" spans="2:10">
      <c r="B17" s="27" t="s">
        <v>108</v>
      </c>
      <c r="C17" s="17" t="s">
        <v>56</v>
      </c>
      <c r="D17" s="8" t="s">
        <v>32</v>
      </c>
      <c r="E17" s="6" t="s">
        <v>33</v>
      </c>
      <c r="F17" s="15" t="s">
        <v>14</v>
      </c>
      <c r="G17" s="15" t="s">
        <v>15</v>
      </c>
      <c r="H17" s="6" t="s">
        <v>57</v>
      </c>
      <c r="I17" s="7" t="s">
        <v>58</v>
      </c>
      <c r="J17" s="7" t="str">
        <f t="shared" si="0"/>
        <v>/customerPNResponse/data/pnCustomer/startDate</v>
      </c>
    </row>
    <row r="18" spans="2:10">
      <c r="B18" s="27" t="s">
        <v>109</v>
      </c>
      <c r="C18" s="17" t="s">
        <v>59</v>
      </c>
      <c r="D18" s="8" t="s">
        <v>19</v>
      </c>
      <c r="E18" s="6" t="s">
        <v>10</v>
      </c>
      <c r="F18" s="15" t="s">
        <v>14</v>
      </c>
      <c r="G18" s="15" t="s">
        <v>15</v>
      </c>
      <c r="H18" s="6" t="s">
        <v>60</v>
      </c>
      <c r="I18" s="7" t="s">
        <v>61</v>
      </c>
      <c r="J18" s="7" t="str">
        <f t="shared" si="0"/>
        <v>/customerPNResponse/data/pnCustomer/emailAddress</v>
      </c>
    </row>
    <row r="19" spans="2:10">
      <c r="B19" s="19" t="s">
        <v>110</v>
      </c>
      <c r="C19" s="16" t="s">
        <v>62</v>
      </c>
      <c r="D19" s="6" t="s">
        <v>18</v>
      </c>
      <c r="E19" s="6" t="s">
        <v>10</v>
      </c>
      <c r="F19" s="15" t="s">
        <v>14</v>
      </c>
      <c r="G19" s="15" t="s">
        <v>15</v>
      </c>
      <c r="H19" s="8" t="s">
        <v>63</v>
      </c>
      <c r="I19" s="7" t="s">
        <v>64</v>
      </c>
      <c r="J19" s="7" t="str">
        <f t="shared" si="0"/>
        <v>/customerPNResponse/data/pnCustomer/phoneNumber</v>
      </c>
    </row>
    <row r="20" spans="2:10" ht="30">
      <c r="B20" s="19" t="s">
        <v>111</v>
      </c>
      <c r="C20" s="16" t="s">
        <v>65</v>
      </c>
      <c r="D20" s="6" t="s">
        <v>34</v>
      </c>
      <c r="E20" s="6" t="s">
        <v>10</v>
      </c>
      <c r="F20" s="15" t="s">
        <v>14</v>
      </c>
      <c r="G20" s="15" t="s">
        <v>15</v>
      </c>
      <c r="H20" s="11"/>
      <c r="I20" s="7" t="s">
        <v>66</v>
      </c>
      <c r="J20" s="7" t="str">
        <f t="shared" si="0"/>
        <v>/customerPNResponse/data/pnCustomer/legalRepresentative</v>
      </c>
    </row>
    <row r="21" spans="2:10" ht="30">
      <c r="B21" s="19" t="s">
        <v>112</v>
      </c>
      <c r="C21" s="16" t="s">
        <v>67</v>
      </c>
      <c r="D21" s="6" t="s">
        <v>53</v>
      </c>
      <c r="E21" s="6" t="s">
        <v>10</v>
      </c>
      <c r="F21" s="15" t="s">
        <v>14</v>
      </c>
      <c r="G21" s="15" t="s">
        <v>15</v>
      </c>
      <c r="H21" s="12"/>
      <c r="I21" s="7" t="s">
        <v>68</v>
      </c>
      <c r="J21" s="7" t="str">
        <f t="shared" si="0"/>
        <v>/customerPNResponse/data/pnCustomer/legalRepresentativeRUT</v>
      </c>
    </row>
    <row r="22" spans="2:10" ht="30">
      <c r="B22" s="19" t="s">
        <v>118</v>
      </c>
      <c r="C22" s="16" t="s">
        <v>69</v>
      </c>
      <c r="D22" s="6" t="s">
        <v>32</v>
      </c>
      <c r="E22" s="6" t="s">
        <v>33</v>
      </c>
      <c r="F22" s="15" t="s">
        <v>14</v>
      </c>
      <c r="G22" s="15" t="s">
        <v>15</v>
      </c>
      <c r="H22" s="12" t="s">
        <v>70</v>
      </c>
      <c r="I22" s="7" t="s">
        <v>71</v>
      </c>
      <c r="J22" s="7" t="str">
        <f t="shared" si="0"/>
        <v>/customerPNResponse/data/pnCustomer/dateOfBirth</v>
      </c>
    </row>
    <row r="23" spans="2:10" ht="30">
      <c r="B23" s="19" t="s">
        <v>119</v>
      </c>
      <c r="C23" s="16" t="s">
        <v>72</v>
      </c>
      <c r="D23" s="6" t="s">
        <v>73</v>
      </c>
      <c r="E23" s="6" t="s">
        <v>10</v>
      </c>
      <c r="F23" s="15" t="s">
        <v>14</v>
      </c>
      <c r="G23" s="15" t="s">
        <v>15</v>
      </c>
      <c r="H23" s="12" t="s">
        <v>74</v>
      </c>
      <c r="I23" s="7" t="s">
        <v>75</v>
      </c>
      <c r="J23" s="7" t="str">
        <f t="shared" si="0"/>
        <v>/customerPNResponse/data/pnCustomer/maritalStatus</v>
      </c>
    </row>
    <row r="24" spans="2:10">
      <c r="B24" s="19" t="s">
        <v>120</v>
      </c>
      <c r="C24" s="16" t="s">
        <v>76</v>
      </c>
      <c r="D24" s="6" t="s">
        <v>27</v>
      </c>
      <c r="E24" s="6" t="s">
        <v>10</v>
      </c>
      <c r="F24" s="15" t="s">
        <v>14</v>
      </c>
      <c r="G24" s="15" t="s">
        <v>15</v>
      </c>
      <c r="H24" s="12" t="s">
        <v>77</v>
      </c>
      <c r="I24" s="7" t="s">
        <v>78</v>
      </c>
      <c r="J24" s="7" t="str">
        <f t="shared" si="0"/>
        <v>/customerPNResponse/data/pnCustomer/occupation</v>
      </c>
    </row>
    <row r="25" spans="2:10" ht="30">
      <c r="B25" s="19" t="s">
        <v>121</v>
      </c>
      <c r="C25" s="16" t="s">
        <v>79</v>
      </c>
      <c r="D25" s="6" t="s">
        <v>80</v>
      </c>
      <c r="E25" s="6" t="s">
        <v>10</v>
      </c>
      <c r="F25" s="15" t="s">
        <v>14</v>
      </c>
      <c r="G25" s="15" t="s">
        <v>15</v>
      </c>
      <c r="H25" s="12" t="s">
        <v>81</v>
      </c>
      <c r="I25" s="7" t="s">
        <v>82</v>
      </c>
      <c r="J25" s="7" t="str">
        <f t="shared" si="0"/>
        <v>/customerPNResponse/data/pnCustomer/monthlyIncomeRange</v>
      </c>
    </row>
    <row r="26" spans="2:10">
      <c r="B26" s="19" t="s">
        <v>113</v>
      </c>
      <c r="C26" s="16" t="s">
        <v>83</v>
      </c>
      <c r="D26" s="6" t="s">
        <v>84</v>
      </c>
      <c r="E26" s="6" t="s">
        <v>13</v>
      </c>
      <c r="F26" s="15" t="s">
        <v>14</v>
      </c>
      <c r="G26" s="15" t="s">
        <v>15</v>
      </c>
      <c r="H26" s="12"/>
      <c r="I26" s="7" t="s">
        <v>85</v>
      </c>
      <c r="J26" s="7" t="str">
        <f t="shared" si="0"/>
        <v>/customerPNResponse/data/pnCustomer/address</v>
      </c>
    </row>
    <row r="27" spans="2:10">
      <c r="B27" s="28" t="s">
        <v>16</v>
      </c>
      <c r="C27" s="20" t="s">
        <v>86</v>
      </c>
      <c r="D27" s="21" t="s">
        <v>27</v>
      </c>
      <c r="E27" s="10" t="s">
        <v>10</v>
      </c>
      <c r="F27" s="15" t="s">
        <v>14</v>
      </c>
      <c r="G27" s="15" t="s">
        <v>15</v>
      </c>
      <c r="H27" s="26" t="s">
        <v>87</v>
      </c>
      <c r="I27" s="22" t="s">
        <v>88</v>
      </c>
      <c r="J27" s="7" t="str">
        <f>CONCATENATE($J$26,"/",B27)</f>
        <v>/customerPNResponse/data/pnCustomer/address/streetName</v>
      </c>
    </row>
    <row r="28" spans="2:10">
      <c r="B28" s="28" t="s">
        <v>17</v>
      </c>
      <c r="C28" s="20" t="s">
        <v>89</v>
      </c>
      <c r="D28" s="21" t="s">
        <v>90</v>
      </c>
      <c r="E28" s="10" t="s">
        <v>10</v>
      </c>
      <c r="F28" s="15" t="s">
        <v>14</v>
      </c>
      <c r="G28" s="15" t="s">
        <v>15</v>
      </c>
      <c r="H28" s="26" t="s">
        <v>91</v>
      </c>
      <c r="I28" s="22" t="s">
        <v>92</v>
      </c>
      <c r="J28" s="7" t="str">
        <f t="shared" ref="J28:J30" si="1">CONCATENATE($J$26,"/",B28)</f>
        <v>/customerPNResponse/data/pnCustomer/address/buildingNumber</v>
      </c>
    </row>
    <row r="29" spans="2:10">
      <c r="B29" s="28" t="s">
        <v>26</v>
      </c>
      <c r="C29" s="20" t="s">
        <v>29</v>
      </c>
      <c r="D29" s="21" t="s">
        <v>9</v>
      </c>
      <c r="E29" s="10" t="s">
        <v>10</v>
      </c>
      <c r="F29" s="15" t="s">
        <v>14</v>
      </c>
      <c r="G29" s="15" t="s">
        <v>15</v>
      </c>
      <c r="H29" s="26" t="s">
        <v>93</v>
      </c>
      <c r="I29" s="22" t="s">
        <v>94</v>
      </c>
      <c r="J29" s="7" t="str">
        <f t="shared" si="1"/>
        <v>/customerPNResponse/data/pnCustomer/address/city</v>
      </c>
    </row>
    <row r="30" spans="2:10">
      <c r="B30" s="28" t="s">
        <v>116</v>
      </c>
      <c r="C30" s="20" t="s">
        <v>30</v>
      </c>
      <c r="D30" s="21" t="s">
        <v>90</v>
      </c>
      <c r="E30" s="10" t="s">
        <v>10</v>
      </c>
      <c r="F30" s="15" t="s">
        <v>14</v>
      </c>
      <c r="G30" s="15" t="s">
        <v>15</v>
      </c>
      <c r="H30" s="26" t="s">
        <v>95</v>
      </c>
      <c r="I30" s="22" t="s">
        <v>96</v>
      </c>
      <c r="J30" s="7" t="str">
        <f t="shared" si="1"/>
        <v>/customerPNResponse/data/pnCustomer/address/postalCode</v>
      </c>
    </row>
    <row r="31" spans="2:10">
      <c r="B31" s="19" t="s">
        <v>114</v>
      </c>
      <c r="C31" s="16" t="s">
        <v>97</v>
      </c>
      <c r="D31" s="6" t="s">
        <v>98</v>
      </c>
      <c r="E31" s="6" t="s">
        <v>10</v>
      </c>
      <c r="F31" s="15" t="s">
        <v>14</v>
      </c>
      <c r="G31" s="15" t="s">
        <v>15</v>
      </c>
      <c r="H31" s="8" t="s">
        <v>99</v>
      </c>
      <c r="I31" s="7" t="s">
        <v>100</v>
      </c>
      <c r="J31" s="7" t="str">
        <f>CONCATENATE($J$14,"/",B31)</f>
        <v>/customerPNResponse/data/pnCustomer/pepStatus</v>
      </c>
    </row>
    <row r="32" spans="2:10">
      <c r="B32" s="19" t="s">
        <v>115</v>
      </c>
      <c r="C32" s="16" t="s">
        <v>101</v>
      </c>
      <c r="D32" s="6" t="s">
        <v>102</v>
      </c>
      <c r="E32" s="6" t="s">
        <v>10</v>
      </c>
      <c r="F32" s="15" t="s">
        <v>14</v>
      </c>
      <c r="G32" s="15" t="s">
        <v>15</v>
      </c>
      <c r="H32" s="8" t="s">
        <v>103</v>
      </c>
      <c r="I32" s="7" t="s">
        <v>104</v>
      </c>
      <c r="J32" s="7" t="str">
        <f>CONCATENATE($J$14,"/",B32)</f>
        <v>/customerPNResponse/data/pnCustomer/kycStatus</v>
      </c>
    </row>
    <row r="33" spans="2:2">
      <c r="B33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customers-pn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2025-06-03T15:01:28Z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