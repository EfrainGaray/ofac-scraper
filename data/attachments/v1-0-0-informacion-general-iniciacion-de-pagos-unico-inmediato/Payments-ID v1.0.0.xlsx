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13. Iniciación de pagos/paymentID/"/>
    </mc:Choice>
  </mc:AlternateContent>
  <xr:revisionPtr revIDLastSave="0" documentId="8_{960BCA5F-0E59-4F36-A474-5EAF673B367E}" xr6:coauthVersionLast="47" xr6:coauthVersionMax="47" xr10:uidLastSave="{00000000-0000-0000-0000-000000000000}"/>
  <bookViews>
    <workbookView xWindow="14370" yWindow="240" windowWidth="23895" windowHeight="15105" xr2:uid="{BDE7A0DA-6149-4E33-8C62-48C89761175C}"/>
  </bookViews>
  <sheets>
    <sheet name="Payments 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4" i="1"/>
  <c r="J23" i="1"/>
  <c r="J14" i="1"/>
  <c r="J15" i="1" s="1"/>
  <c r="J16" i="1" s="1"/>
  <c r="J22" i="1" l="1"/>
  <c r="J19" i="1"/>
  <c r="J51" i="1"/>
  <c r="J20" i="1"/>
  <c r="J18" i="1"/>
  <c r="J27" i="1"/>
  <c r="J21" i="1"/>
  <c r="J17" i="1"/>
  <c r="J26" i="1" l="1"/>
  <c r="J25" i="1"/>
</calcChain>
</file>

<file path=xl/sharedStrings.xml><?xml version="1.0" encoding="utf-8"?>
<sst xmlns="http://schemas.openxmlformats.org/spreadsheetml/2006/main" count="325" uniqueCount="171">
  <si>
    <t>API:</t>
  </si>
  <si>
    <t>Recurso: GET</t>
  </si>
  <si>
    <t xml:space="preserve"> /payments/v1/payments/payments{ID}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</si>
  <si>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</si>
  <si>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</si>
  <si>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</si>
  <si>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</si>
  <si>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</si>
  <si>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</si>
  <si>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</si>
  <si>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</si>
  <si>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</si>
  <si>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</si>
  <si>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paymentsID</t>
  </si>
  <si>
    <t>Identificador del pago</t>
  </si>
  <si>
    <t>Query Param</t>
  </si>
  <si>
    <t>Max35Text</t>
  </si>
  <si>
    <t>string</t>
  </si>
  <si>
    <t>1..1</t>
  </si>
  <si>
    <t>Si</t>
  </si>
  <si>
    <t>Para paginación, indica la página que se desea consultar.</t>
  </si>
  <si>
    <t>Response:</t>
  </si>
  <si>
    <t>Name</t>
  </si>
  <si>
    <t>Glosa Field Name</t>
  </si>
  <si>
    <t>Path</t>
  </si>
  <si>
    <t>paymentsResponse</t>
  </si>
  <si>
    <t>Objeto global</t>
  </si>
  <si>
    <t>-</t>
  </si>
  <si>
    <t>object</t>
  </si>
  <si>
    <t>Sí</t>
  </si>
  <si>
    <t>data</t>
  </si>
  <si>
    <t>Objeto data</t>
  </si>
  <si>
    <t>payment</t>
  </si>
  <si>
    <t>Arreglo de pagos</t>
  </si>
  <si>
    <t>array&lt;object&gt;</t>
  </si>
  <si>
    <t>1..*</t>
  </si>
  <si>
    <t>paymentId</t>
  </si>
  <si>
    <t>PAY-20250001</t>
  </si>
  <si>
    <t>grantId</t>
  </si>
  <si>
    <t>Identificador del consentimiento</t>
  </si>
  <si>
    <t>Amount</t>
  </si>
  <si>
    <t>Number</t>
  </si>
  <si>
    <t>creationDateTime</t>
  </si>
  <si>
    <t>Fecha creación de la iniciación de pago</t>
  </si>
  <si>
    <t>ISODateTimeText</t>
  </si>
  <si>
    <t>string (date-time)</t>
  </si>
  <si>
    <t>"2025-05-30T10:30:00Z"</t>
  </si>
  <si>
    <t>statusUpdateDateTime</t>
  </si>
  <si>
    <t>Fecha de actualización del estado de pago</t>
  </si>
  <si>
    <t>expectedExecutionDateTime</t>
  </si>
  <si>
    <t>Fecha de ejecución del pago</t>
  </si>
  <si>
    <t>0..1</t>
  </si>
  <si>
    <t>No</t>
  </si>
  <si>
    <t>expectedSettlementDateTime</t>
  </si>
  <si>
    <t>Fecha de liquidez del pago</t>
  </si>
  <si>
    <t>paymentStatus</t>
  </si>
  <si>
    <t>Estado del pago</t>
  </si>
  <si>
    <t>Pendiente</t>
  </si>
  <si>
    <t>statusReason</t>
  </si>
  <si>
    <t>Object</t>
  </si>
  <si>
    <t>statusReasonCode</t>
  </si>
  <si>
    <t>Código del estado del pago</t>
  </si>
  <si>
    <t>description</t>
  </si>
  <si>
    <t>Descripción asociado al código del estado de pago</t>
  </si>
  <si>
    <t>Max140Text</t>
  </si>
  <si>
    <t>Pago pendiente de aprobación</t>
  </si>
  <si>
    <t>transactionType</t>
  </si>
  <si>
    <t>Tipo de Transacción</t>
  </si>
  <si>
    <t>"TEF"</t>
  </si>
  <si>
    <t>Indica la naturaleza del pago (ej. Transferencia Electrónica, pago recurrente, etc.).</t>
  </si>
  <si>
    <t>paymentLimit</t>
  </si>
  <si>
    <t>Límite de Pago (Recurrente)</t>
  </si>
  <si>
    <t>ActiveOrHistoricCurrencyAndAmount</t>
  </si>
  <si>
    <t>number</t>
  </si>
  <si>
    <t>Monto máximo permitido si se tratara de un programa de pagos recurrentes.</t>
  </si>
  <si>
    <t>debtorInstitutionId</t>
  </si>
  <si>
    <t>Banco/Institución del Ordenante</t>
  </si>
  <si>
    <t>FinancialInstitutionIdentification (FIId)</t>
  </si>
  <si>
    <t>"014"</t>
  </si>
  <si>
    <t>Código SBIF u otro identificador para la institución financiera del ordenante (Banco Estado = “014”).</t>
  </si>
  <si>
    <t>debtorAccountNumber</t>
  </si>
  <si>
    <t>Número de Cuenta del Ordenante</t>
  </si>
  <si>
    <t>"0123456789"</t>
  </si>
  <si>
    <t>Número de cuenta origen.</t>
  </si>
  <si>
    <t>debtorAccountType</t>
  </si>
  <si>
    <t>Tipo de Cuenta del Ordenante</t>
  </si>
  <si>
    <t>ExternalAccountTypeCode</t>
  </si>
  <si>
    <t>"CHECKING", "SAVINGS"</t>
  </si>
  <si>
    <t>Indica si es cuenta corriente, de ahorros, vista, etc.</t>
  </si>
  <si>
    <t>debtorName</t>
  </si>
  <si>
    <t>Nombre/Razón Social Ordenante</t>
  </si>
  <si>
    <t>"Juan Pérez"</t>
  </si>
  <si>
    <t>Nombre completo (persona natural) o razón social (persona jurídica).</t>
  </si>
  <si>
    <t>debtorIdentification</t>
  </si>
  <si>
    <t>Identificación del Ordenante</t>
  </si>
  <si>
    <t>"12345678-9"</t>
  </si>
  <si>
    <t>Cédula/RUT para chilenos/residentes, pasaporte u otro para extranjeros, RUT/ID para personas jurídicas.</t>
  </si>
  <si>
    <t>debtorAddress</t>
  </si>
  <si>
    <t>Domicilio del Ordenante</t>
  </si>
  <si>
    <t>No*</t>
  </si>
  <si>
    <t>"Av. Providencia 123"</t>
  </si>
  <si>
    <t>Obligatorio si la transferencia ≥ 1.000 USD, según normativa AML. De lo contrario, puede ser opcional.</t>
  </si>
  <si>
    <t>debtorCountry</t>
  </si>
  <si>
    <t>País o Comuna del Ordenante</t>
  </si>
  <si>
    <t>CountryCode / Max70Text</t>
  </si>
  <si>
    <t>"Chile" o "Santiago"</t>
  </si>
  <si>
    <t>Para AML ≥ 1.000 USD, se exige país o comuna del ordenante.</t>
  </si>
  <si>
    <t>debtorPaymentMethod</t>
  </si>
  <si>
    <t>Forma de Pago del Ordenante</t>
  </si>
  <si>
    <t>ExternalPaymentMethodCode</t>
  </si>
  <si>
    <t>"ELEC", "CASH"</t>
  </si>
  <si>
    <t>Transferencia electrónica, efectivo, documentos, etc. Obligatorio si ≥ 1.000 USD.</t>
  </si>
  <si>
    <t>creditorInstitutionId</t>
  </si>
  <si>
    <t>Banco/Institución del Beneficiario</t>
  </si>
  <si>
    <t>FinancialInstitutionIdentification</t>
  </si>
  <si>
    <t>"001"</t>
  </si>
  <si>
    <t>Código SBIF u otro para la institución financiera del beneficiario (Banco de Chile = “001”).</t>
  </si>
  <si>
    <t>creditorAccountNumber</t>
  </si>
  <si>
    <t>Número de Cuenta del Beneficiario</t>
  </si>
  <si>
    <t>"9876543210"</t>
  </si>
  <si>
    <t>Número de cuenta destino.</t>
  </si>
  <si>
    <t>creditorAccountType</t>
  </si>
  <si>
    <t>Tipo de Cuenta del Beneficiario</t>
  </si>
  <si>
    <t>"CHECKING"</t>
  </si>
  <si>
    <t>Cuenta corriente, ahorros, vista, etc.</t>
  </si>
  <si>
    <t>creditorName</t>
  </si>
  <si>
    <t>Nombre/Razón Social Beneficiario</t>
  </si>
  <si>
    <t>"Roberto Ponce"</t>
  </si>
  <si>
    <t>Nombre completo o razón social del beneficiario.</t>
  </si>
  <si>
    <t>creditorIdentification</t>
  </si>
  <si>
    <t>Identificación del Beneficiario</t>
  </si>
  <si>
    <t>"11.222.333-4"</t>
  </si>
  <si>
    <t>RUT, cédula o documento similar (para extranjeros, pasaporte o ID equivalente).</t>
  </si>
  <si>
    <t>creditorAddress</t>
  </si>
  <si>
    <t>Domicilio del Beneficiario</t>
  </si>
  <si>
    <t>"Av. Las Condes 999"</t>
  </si>
  <si>
    <t>Obligatorio si ≥ 1.000 USD y la regulación AML lo requiera (p. ej. transferencias internacionales).</t>
  </si>
  <si>
    <t>creditorCountry</t>
  </si>
  <si>
    <t>País o Comuna del Beneficiario</t>
  </si>
  <si>
    <t>"Chile" o "Valparaíso"</t>
  </si>
  <si>
    <t>País/comuna de destino de los fondos. Exigido si ≥ 1.000 USD.</t>
  </si>
  <si>
    <t>originOfFunds</t>
  </si>
  <si>
    <t>País/Comuna de Origen de Fondos</t>
  </si>
  <si>
    <t>"Chile", "USA"</t>
  </si>
  <si>
    <t>Para AML en transferencias internacionales o montos altos.</t>
  </si>
  <si>
    <t>amount</t>
  </si>
  <si>
    <t>Monto de la Transferencia</t>
  </si>
  <si>
    <t>Valor numérico de la operación.</t>
  </si>
  <si>
    <t>currency</t>
  </si>
  <si>
    <t>Moneda de la Transferencia</t>
  </si>
  <si>
    <t>ActiveOrHistoricCurrencyCode</t>
  </si>
  <si>
    <t>"CLP"</t>
  </si>
  <si>
    <t>Ej. CLP (pesos chilenos), USD (dólares), etc.</t>
  </si>
  <si>
    <t>requestDateTime</t>
  </si>
  <si>
    <t>Fecha/Hora de la Orden</t>
  </si>
  <si>
    <t>Momento en que se instruye la TEF (Formato ISO 8601).</t>
  </si>
  <si>
    <t>suspiciousFlag</t>
  </si>
  <si>
    <t>Indicador de Sospecha AML/Fraude</t>
  </si>
  <si>
    <t>Max10Text (Enum)</t>
  </si>
  <si>
    <t>"YES", "NO"</t>
  </si>
  <si>
    <t>Puede marcar la operación como sospechosa para mayor revisión.</t>
  </si>
  <si>
    <t>fraudAnalysisData</t>
  </si>
  <si>
    <t>Datos de Análisis de Fraude</t>
  </si>
  <si>
    <t>object (JSON)</t>
  </si>
  <si>
    <t>purpose</t>
  </si>
  <si>
    <t>Motivo o Descripción del Pago</t>
  </si>
  <si>
    <t>"Pago de servicios"</t>
  </si>
  <si>
    <t>Detalle o referencia de la transacción (factura, servicios, etc.).</t>
  </si>
  <si>
    <t>refundIndicator</t>
  </si>
  <si>
    <t>Indicador de Devolución</t>
  </si>
  <si>
    <t>Muestra si la transacción fue devuelta tras liquidarse.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</si>
</sst>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left" vertical="center" wrapText="1" indent="3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</cellXfs>
  <cellStyles count="3">
    <cellStyle name="Fecha" xfId="2" xr:uid="{2FECF44A-A33C-42C5-8AB0-DAA19381D236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7</xdr:col>
      <xdr:colOff>1073711</xdr:colOff>
      <xdr:row>5</xdr:row>
      <xdr:rowOff>18190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5C94DC15-841D-4CD6-A961-5BAB2BF2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5834" y="0"/>
          <a:ext cx="1883352" cy="1046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2373031</xdr:colOff>
      <xdr:row>3</xdr:row>
      <xdr:rowOff>37626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D7E50-38D4-40D2-B223-E93629E0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3794"/>
          <a:ext cx="2373031" cy="445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3309-20BF-4EBB-8AF4-0AD80AA67036}">
  <dimension ref="B1:L51"/>
  <sheetViews>
    <sheetView showGridLines="0" tabSelected="1" zoomScale="85" zoomScaleNormal="85" workbookViewId="0">
      <selection activeCell="K1" sqref="K1:K1048576"/>
    </sheetView>
  </sheetViews>
  <sheetFormatPr baseColWidth="10" defaultColWidth="11.28515625" defaultRowHeight="15"/>
  <cols>
    <col min="1" max="1" width="7.28515625" customWidth="1"/>
    <col min="2" max="2" width="38.28515625" customWidth="1"/>
    <col min="3" max="3" width="35.85546875" customWidth="1"/>
    <col min="4" max="4" width="31.42578125" customWidth="1"/>
    <col min="5" max="5" width="17.85546875" customWidth="1"/>
    <col min="6" max="6" width="16.85546875" style="2" customWidth="1"/>
    <col min="7" max="7" width="17.7109375" customWidth="1"/>
    <col min="8" max="8" width="24.5703125" bestFit="1" customWidth="1"/>
    <col min="9" max="9" width="43.5703125" customWidth="1"/>
    <col min="10" max="10" width="58.28515625" style="3" customWidth="1"/>
  </cols>
  <sheetData>
    <row r="1" spans="2:10">
      <c r="B1" s="1"/>
    </row>
    <row r="2" spans="2:10">
      <c r="B2" s="1"/>
    </row>
    <row r="3" spans="2:10">
      <c r="B3" s="1"/>
    </row>
    <row r="4" spans="2:10">
      <c r="B4" s="1"/>
    </row>
    <row r="5" spans="2:10" ht="21">
      <c r="B5" s="4" t="s">
        <v>0</v>
      </c>
      <c r="C5" s="4" t="s">
        <v>1</v>
      </c>
      <c r="D5" s="5" t="s">
        <v>2</v>
      </c>
      <c r="G5" s="5"/>
      <c r="H5" s="5"/>
    </row>
    <row r="6" spans="2:10" ht="32.25" customHeight="1"/>
    <row r="7" spans="2:10" ht="21">
      <c r="B7" s="4" t="s">
        <v>3</v>
      </c>
    </row>
    <row r="8" spans="2:10">
      <c r="B8" s="6" t="s">
        <v>4</v>
      </c>
      <c r="C8" s="7" t="s">
        <v>5</v>
      </c>
      <c r="D8" s="7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7" t="s">
        <v>12</v>
      </c>
    </row>
    <row r="9" spans="2:10">
      <c r="B9" s="8" t="s">
        <v>13</v>
      </c>
      <c r="C9" s="10" t="s">
        <v>14</v>
      </c>
      <c r="D9" s="10" t="s">
        <v>15</v>
      </c>
      <c r="E9" s="11" t="s">
        <v>16</v>
      </c>
      <c r="F9" s="11" t="s">
        <v>17</v>
      </c>
      <c r="G9" s="12" t="s">
        <v>18</v>
      </c>
      <c r="H9" s="12" t="s">
        <v>19</v>
      </c>
      <c r="I9" s="13">
        <v>1</v>
      </c>
      <c r="J9" s="14" t="s">
        <v>20</v>
      </c>
    </row>
    <row r="11" spans="2:10" ht="21">
      <c r="B11" s="4" t="s">
        <v>21</v>
      </c>
    </row>
    <row r="12" spans="2:10" ht="21">
      <c r="B12" s="4"/>
    </row>
    <row r="13" spans="2:10">
      <c r="B13" s="6" t="s">
        <v>22</v>
      </c>
      <c r="C13" s="7" t="s">
        <v>23</v>
      </c>
      <c r="D13" s="7" t="s">
        <v>7</v>
      </c>
      <c r="E13" s="6" t="s">
        <v>8</v>
      </c>
      <c r="F13" s="6" t="s">
        <v>9</v>
      </c>
      <c r="G13" s="15" t="s">
        <v>10</v>
      </c>
      <c r="H13" s="7" t="s">
        <v>11</v>
      </c>
      <c r="I13" s="6" t="s">
        <v>12</v>
      </c>
      <c r="J13" s="7" t="s">
        <v>24</v>
      </c>
    </row>
    <row r="14" spans="2:10">
      <c r="B14" s="9" t="s">
        <v>25</v>
      </c>
      <c r="C14" s="16" t="s">
        <v>26</v>
      </c>
      <c r="D14" s="16" t="s">
        <v>27</v>
      </c>
      <c r="E14" s="17" t="s">
        <v>28</v>
      </c>
      <c r="F14" s="18" t="s">
        <v>18</v>
      </c>
      <c r="G14" s="19" t="s">
        <v>29</v>
      </c>
      <c r="H14" s="14" t="s">
        <v>27</v>
      </c>
      <c r="I14" s="14"/>
      <c r="J14" s="13" t="str">
        <f>CONCATENATE("/",B14)</f>
        <v>/paymentsResponse</v>
      </c>
    </row>
    <row r="15" spans="2:10">
      <c r="B15" s="20" t="s">
        <v>30</v>
      </c>
      <c r="C15" s="16" t="s">
        <v>31</v>
      </c>
      <c r="D15" s="16" t="s">
        <v>27</v>
      </c>
      <c r="E15" s="17" t="s">
        <v>28</v>
      </c>
      <c r="F15" s="18" t="s">
        <v>18</v>
      </c>
      <c r="G15" s="19" t="s">
        <v>29</v>
      </c>
      <c r="H15" s="14" t="s">
        <v>27</v>
      </c>
      <c r="I15" s="14"/>
      <c r="J15" s="13" t="str">
        <f>CONCATENATE(J14,"/",B15)</f>
        <v>/paymentsResponse/data</v>
      </c>
    </row>
    <row r="16" spans="2:10">
      <c r="B16" s="21" t="s">
        <v>32</v>
      </c>
      <c r="C16" s="16" t="s">
        <v>33</v>
      </c>
      <c r="D16" s="16" t="s">
        <v>27</v>
      </c>
      <c r="E16" s="17" t="s">
        <v>34</v>
      </c>
      <c r="F16" s="18" t="s">
        <v>35</v>
      </c>
      <c r="G16" s="19" t="s">
        <v>29</v>
      </c>
      <c r="H16" s="14" t="s">
        <v>27</v>
      </c>
      <c r="I16" s="14"/>
      <c r="J16" s="13" t="str">
        <f>CONCATENATE(J15,"/",B16)</f>
        <v>/paymentsResponse/data/payment</v>
      </c>
    </row>
    <row r="17" spans="2:10">
      <c r="B17" s="22" t="s">
        <v>36</v>
      </c>
      <c r="C17" s="16" t="s">
        <v>14</v>
      </c>
      <c r="D17" s="14" t="s">
        <v>16</v>
      </c>
      <c r="E17" s="17" t="s">
        <v>17</v>
      </c>
      <c r="F17" s="18" t="s">
        <v>18</v>
      </c>
      <c r="G17" s="19" t="s">
        <v>19</v>
      </c>
      <c r="H17" s="14" t="s">
        <v>37</v>
      </c>
      <c r="I17" s="16" t="s">
        <v>14</v>
      </c>
      <c r="J17" s="13" t="str">
        <f>CONCATENATE(J16,"/",B17)</f>
        <v>/paymentsResponse/data/payment/paymentId</v>
      </c>
    </row>
    <row r="18" spans="2:10">
      <c r="B18" s="22" t="s">
        <v>38</v>
      </c>
      <c r="C18" s="16" t="s">
        <v>39</v>
      </c>
      <c r="D18" s="16" t="s">
        <v>40</v>
      </c>
      <c r="E18" s="17" t="s">
        <v>41</v>
      </c>
      <c r="F18" s="18" t="s">
        <v>18</v>
      </c>
      <c r="G18" s="19" t="s">
        <v>29</v>
      </c>
      <c r="H18" s="14">
        <v>40056</v>
      </c>
      <c r="I18" s="14" t="s">
        <v>39</v>
      </c>
      <c r="J18" s="13" t="str">
        <f>CONCATENATE(J16,"/",B18)</f>
        <v>/paymentsResponse/data/payment/grantId</v>
      </c>
    </row>
    <row r="19" spans="2:10" ht="30">
      <c r="B19" s="22" t="s">
        <v>42</v>
      </c>
      <c r="C19" s="16" t="s">
        <v>43</v>
      </c>
      <c r="D19" s="14" t="s">
        <v>44</v>
      </c>
      <c r="E19" s="17" t="s">
        <v>45</v>
      </c>
      <c r="F19" s="18" t="s">
        <v>18</v>
      </c>
      <c r="G19" s="19" t="s">
        <v>29</v>
      </c>
      <c r="H19" s="14" t="s">
        <v>46</v>
      </c>
      <c r="I19" s="16" t="s">
        <v>43</v>
      </c>
      <c r="J19" s="13" t="str">
        <f>CONCATENATE(J16,"/",B19)</f>
        <v>/paymentsResponse/data/payment/creationDateTime</v>
      </c>
    </row>
    <row r="20" spans="2:10" ht="30">
      <c r="B20" s="22" t="s">
        <v>47</v>
      </c>
      <c r="C20" s="16" t="s">
        <v>48</v>
      </c>
      <c r="D20" s="14" t="s">
        <v>44</v>
      </c>
      <c r="E20" s="17" t="s">
        <v>45</v>
      </c>
      <c r="F20" s="18" t="s">
        <v>18</v>
      </c>
      <c r="G20" s="19" t="s">
        <v>29</v>
      </c>
      <c r="H20" s="14" t="s">
        <v>46</v>
      </c>
      <c r="I20" s="16" t="s">
        <v>48</v>
      </c>
      <c r="J20" s="13" t="str">
        <f>CONCATENATE(J16,"/",B20)</f>
        <v>/paymentsResponse/data/payment/statusUpdateDateTime</v>
      </c>
    </row>
    <row r="21" spans="2:10">
      <c r="B21" s="22" t="s">
        <v>49</v>
      </c>
      <c r="C21" s="16" t="s">
        <v>50</v>
      </c>
      <c r="D21" s="14" t="s">
        <v>44</v>
      </c>
      <c r="E21" s="17" t="s">
        <v>45</v>
      </c>
      <c r="F21" s="18" t="s">
        <v>51</v>
      </c>
      <c r="G21" s="19" t="s">
        <v>52</v>
      </c>
      <c r="H21" s="14" t="s">
        <v>46</v>
      </c>
      <c r="I21" s="16" t="s">
        <v>50</v>
      </c>
      <c r="J21" s="13" t="str">
        <f>CONCATENATE(J16,"/",B21)</f>
        <v>/paymentsResponse/data/payment/expectedExecutionDateTime</v>
      </c>
    </row>
    <row r="22" spans="2:10">
      <c r="B22" s="22" t="s">
        <v>53</v>
      </c>
      <c r="C22" s="16" t="s">
        <v>54</v>
      </c>
      <c r="D22" s="14" t="s">
        <v>44</v>
      </c>
      <c r="E22" s="17" t="s">
        <v>45</v>
      </c>
      <c r="F22" s="18" t="s">
        <v>51</v>
      </c>
      <c r="G22" s="19" t="s">
        <v>52</v>
      </c>
      <c r="H22" s="14" t="s">
        <v>46</v>
      </c>
      <c r="I22" s="16" t="s">
        <v>54</v>
      </c>
      <c r="J22" s="13" t="str">
        <f>CONCATENATE(J16,"/",B22)</f>
        <v>/paymentsResponse/data/payment/expectedSettlementDateTime</v>
      </c>
    </row>
    <row r="23" spans="2:10">
      <c r="B23" s="22" t="s">
        <v>55</v>
      </c>
      <c r="C23" s="16" t="s">
        <v>56</v>
      </c>
      <c r="D23" s="14" t="s">
        <v>16</v>
      </c>
      <c r="E23" s="17" t="s">
        <v>17</v>
      </c>
      <c r="F23" s="18" t="s">
        <v>18</v>
      </c>
      <c r="G23" s="19" t="s">
        <v>29</v>
      </c>
      <c r="H23" s="14" t="s">
        <v>57</v>
      </c>
      <c r="I23" s="16" t="s">
        <v>56</v>
      </c>
      <c r="J23" s="13" t="str">
        <f>CONCATENATE($J$43,"/",B23)</f>
        <v>/creditorCountry/paymentStatus</v>
      </c>
    </row>
    <row r="24" spans="2:10">
      <c r="B24" s="22" t="s">
        <v>58</v>
      </c>
      <c r="C24" s="16" t="s">
        <v>59</v>
      </c>
      <c r="D24" s="16" t="s">
        <v>27</v>
      </c>
      <c r="E24" s="17" t="s">
        <v>28</v>
      </c>
      <c r="F24" s="18" t="s">
        <v>18</v>
      </c>
      <c r="G24" s="19" t="s">
        <v>29</v>
      </c>
      <c r="H24" s="14" t="s">
        <v>27</v>
      </c>
      <c r="I24" s="16" t="s">
        <v>59</v>
      </c>
      <c r="J24" s="13" t="str">
        <f t="shared" ref="J24" si="0">CONCATENATE($J$43,"/",B24)</f>
        <v>/creditorCountry/statusReason</v>
      </c>
    </row>
    <row r="25" spans="2:10" ht="25.5">
      <c r="B25" s="23" t="s">
        <v>60</v>
      </c>
      <c r="C25" s="16" t="s">
        <v>61</v>
      </c>
      <c r="D25" s="14" t="s">
        <v>16</v>
      </c>
      <c r="E25" s="17" t="s">
        <v>17</v>
      </c>
      <c r="F25" s="18" t="s">
        <v>18</v>
      </c>
      <c r="G25" s="19" t="s">
        <v>29</v>
      </c>
      <c r="H25" s="14">
        <v>40001</v>
      </c>
      <c r="I25" s="16" t="s">
        <v>61</v>
      </c>
      <c r="J25" s="13" t="str">
        <f>CONCATENATE($J$51,"/",B25)</f>
        <v>/paymentsResponse/data/payment/refundIndicator/statusReasonCode</v>
      </c>
    </row>
    <row r="26" spans="2:10" ht="30">
      <c r="B26" s="23" t="s">
        <v>62</v>
      </c>
      <c r="C26" s="16" t="s">
        <v>63</v>
      </c>
      <c r="D26" s="14" t="s">
        <v>64</v>
      </c>
      <c r="E26" s="17" t="s">
        <v>17</v>
      </c>
      <c r="F26" s="18" t="s">
        <v>18</v>
      </c>
      <c r="G26" s="19" t="s">
        <v>29</v>
      </c>
      <c r="H26" s="14" t="s">
        <v>65</v>
      </c>
      <c r="I26" s="16" t="s">
        <v>63</v>
      </c>
      <c r="J26" s="13" t="str">
        <f>CONCATENATE($J$51,"/",B26)</f>
        <v>/paymentsResponse/data/payment/refundIndicator/description</v>
      </c>
    </row>
    <row r="27" spans="2:10" ht="30">
      <c r="B27" s="22" t="s">
        <v>66</v>
      </c>
      <c r="C27" s="16" t="s">
        <v>67</v>
      </c>
      <c r="D27" s="16" t="s">
        <v>16</v>
      </c>
      <c r="E27" s="17" t="s">
        <v>17</v>
      </c>
      <c r="F27" s="18" t="s">
        <v>18</v>
      </c>
      <c r="G27" s="19" t="s">
        <v>29</v>
      </c>
      <c r="H27" s="14" t="s">
        <v>68</v>
      </c>
      <c r="I27" s="14" t="s">
        <v>69</v>
      </c>
      <c r="J27" s="13" t="str">
        <f>CONCATENATE(J16,"/",B27)</f>
        <v>/paymentsResponse/data/payment/transactionType</v>
      </c>
    </row>
    <row r="28" spans="2:10" ht="30">
      <c r="B28" s="24" t="s">
        <v>70</v>
      </c>
      <c r="C28" s="16" t="s">
        <v>71</v>
      </c>
      <c r="D28" s="16" t="s">
        <v>72</v>
      </c>
      <c r="E28" s="17" t="s">
        <v>73</v>
      </c>
      <c r="F28" s="18" t="s">
        <v>51</v>
      </c>
      <c r="G28" s="19" t="s">
        <v>52</v>
      </c>
      <c r="H28" s="14">
        <v>200000</v>
      </c>
      <c r="I28" s="14" t="s">
        <v>74</v>
      </c>
      <c r="J28" s="13" t="str">
        <f>CONCATENATE($J$11,"/",B28)</f>
        <v>/paymentLimit</v>
      </c>
    </row>
    <row r="29" spans="2:10" ht="45">
      <c r="B29" s="22" t="s">
        <v>75</v>
      </c>
      <c r="C29" s="16" t="s">
        <v>76</v>
      </c>
      <c r="D29" s="16" t="s">
        <v>77</v>
      </c>
      <c r="E29" s="17" t="s">
        <v>17</v>
      </c>
      <c r="F29" s="18" t="s">
        <v>18</v>
      </c>
      <c r="G29" s="19" t="s">
        <v>29</v>
      </c>
      <c r="H29" s="14" t="s">
        <v>78</v>
      </c>
      <c r="I29" s="14" t="s">
        <v>79</v>
      </c>
      <c r="J29" s="13" t="str">
        <f t="shared" ref="J29:J50" si="1">CONCATENATE($J$11,"/",B29)</f>
        <v>/debtorInstitutionId</v>
      </c>
    </row>
    <row r="30" spans="2:10">
      <c r="B30" s="22" t="s">
        <v>80</v>
      </c>
      <c r="C30" s="16" t="s">
        <v>81</v>
      </c>
      <c r="D30" s="16" t="s">
        <v>16</v>
      </c>
      <c r="E30" s="17" t="s">
        <v>17</v>
      </c>
      <c r="F30" s="18" t="s">
        <v>18</v>
      </c>
      <c r="G30" s="19" t="s">
        <v>29</v>
      </c>
      <c r="H30" s="14" t="s">
        <v>82</v>
      </c>
      <c r="I30" s="14" t="s">
        <v>83</v>
      </c>
      <c r="J30" s="13" t="str">
        <f t="shared" si="1"/>
        <v>/debtorAccountNumber</v>
      </c>
    </row>
    <row r="31" spans="2:10" ht="30">
      <c r="B31" s="22" t="s">
        <v>84</v>
      </c>
      <c r="C31" s="16" t="s">
        <v>85</v>
      </c>
      <c r="D31" s="16" t="s">
        <v>86</v>
      </c>
      <c r="E31" s="17" t="s">
        <v>17</v>
      </c>
      <c r="F31" s="18" t="s">
        <v>18</v>
      </c>
      <c r="G31" s="19" t="s">
        <v>29</v>
      </c>
      <c r="H31" s="14" t="s">
        <v>87</v>
      </c>
      <c r="I31" s="14" t="s">
        <v>88</v>
      </c>
      <c r="J31" s="13" t="str">
        <f t="shared" si="1"/>
        <v>/debtorAccountType</v>
      </c>
    </row>
    <row r="32" spans="2:10" ht="30">
      <c r="B32" s="22" t="s">
        <v>89</v>
      </c>
      <c r="C32" s="14" t="s">
        <v>90</v>
      </c>
      <c r="D32" s="14" t="s">
        <v>64</v>
      </c>
      <c r="E32" s="17" t="s">
        <v>17</v>
      </c>
      <c r="F32" s="18" t="s">
        <v>18</v>
      </c>
      <c r="G32" s="19" t="s">
        <v>29</v>
      </c>
      <c r="H32" s="14" t="s">
        <v>91</v>
      </c>
      <c r="I32" s="14" t="s">
        <v>92</v>
      </c>
      <c r="J32" s="13" t="str">
        <f t="shared" si="1"/>
        <v>/debtorName</v>
      </c>
    </row>
    <row r="33" spans="2:10" ht="45">
      <c r="B33" s="22" t="s">
        <v>93</v>
      </c>
      <c r="C33" s="14" t="s">
        <v>94</v>
      </c>
      <c r="D33" s="14" t="s">
        <v>16</v>
      </c>
      <c r="E33" s="17" t="s">
        <v>17</v>
      </c>
      <c r="F33" s="18" t="s">
        <v>18</v>
      </c>
      <c r="G33" s="19" t="s">
        <v>29</v>
      </c>
      <c r="H33" s="14" t="s">
        <v>95</v>
      </c>
      <c r="I33" s="14" t="s">
        <v>96</v>
      </c>
      <c r="J33" s="13" t="str">
        <f t="shared" si="1"/>
        <v>/debtorIdentification</v>
      </c>
    </row>
    <row r="34" spans="2:10" ht="45">
      <c r="B34" s="22" t="s">
        <v>97</v>
      </c>
      <c r="C34" s="14" t="s">
        <v>98</v>
      </c>
      <c r="D34" s="14" t="s">
        <v>64</v>
      </c>
      <c r="E34" s="17" t="s">
        <v>17</v>
      </c>
      <c r="F34" s="18" t="s">
        <v>51</v>
      </c>
      <c r="G34" s="19" t="s">
        <v>99</v>
      </c>
      <c r="H34" s="14" t="s">
        <v>100</v>
      </c>
      <c r="I34" s="14" t="s">
        <v>101</v>
      </c>
      <c r="J34" s="13" t="str">
        <f t="shared" si="1"/>
        <v>/debtorAddress</v>
      </c>
    </row>
    <row r="35" spans="2:10" ht="30">
      <c r="B35" s="22" t="s">
        <v>102</v>
      </c>
      <c r="C35" s="14" t="s">
        <v>103</v>
      </c>
      <c r="D35" s="14" t="s">
        <v>104</v>
      </c>
      <c r="E35" s="17" t="s">
        <v>17</v>
      </c>
      <c r="F35" s="18" t="s">
        <v>51</v>
      </c>
      <c r="G35" s="19" t="s">
        <v>99</v>
      </c>
      <c r="H35" s="14" t="s">
        <v>105</v>
      </c>
      <c r="I35" s="14" t="s">
        <v>106</v>
      </c>
      <c r="J35" s="13" t="str">
        <f t="shared" si="1"/>
        <v>/debtorCountry</v>
      </c>
    </row>
    <row r="36" spans="2:10" ht="30">
      <c r="B36" s="22" t="s">
        <v>107</v>
      </c>
      <c r="C36" s="14" t="s">
        <v>108</v>
      </c>
      <c r="D36" s="14" t="s">
        <v>109</v>
      </c>
      <c r="E36" s="17" t="s">
        <v>17</v>
      </c>
      <c r="F36" s="18" t="s">
        <v>51</v>
      </c>
      <c r="G36" s="19" t="s">
        <v>99</v>
      </c>
      <c r="H36" s="14" t="s">
        <v>110</v>
      </c>
      <c r="I36" s="14" t="s">
        <v>111</v>
      </c>
      <c r="J36" s="13" t="str">
        <f t="shared" si="1"/>
        <v>/debtorPaymentMethod</v>
      </c>
    </row>
    <row r="37" spans="2:10" ht="45">
      <c r="B37" s="22" t="s">
        <v>112</v>
      </c>
      <c r="C37" s="14" t="s">
        <v>113</v>
      </c>
      <c r="D37" s="14" t="s">
        <v>114</v>
      </c>
      <c r="E37" s="17" t="s">
        <v>17</v>
      </c>
      <c r="F37" s="18" t="s">
        <v>51</v>
      </c>
      <c r="G37" s="19" t="s">
        <v>29</v>
      </c>
      <c r="H37" s="14" t="s">
        <v>115</v>
      </c>
      <c r="I37" s="14" t="s">
        <v>116</v>
      </c>
      <c r="J37" s="13" t="str">
        <f t="shared" si="1"/>
        <v>/creditorInstitutionId</v>
      </c>
    </row>
    <row r="38" spans="2:10">
      <c r="B38" s="22" t="s">
        <v>117</v>
      </c>
      <c r="C38" s="14" t="s">
        <v>118</v>
      </c>
      <c r="D38" s="14" t="s">
        <v>16</v>
      </c>
      <c r="E38" s="17" t="s">
        <v>17</v>
      </c>
      <c r="F38" s="18" t="s">
        <v>18</v>
      </c>
      <c r="G38" s="19" t="s">
        <v>29</v>
      </c>
      <c r="H38" s="14" t="s">
        <v>119</v>
      </c>
      <c r="I38" s="14" t="s">
        <v>120</v>
      </c>
      <c r="J38" s="13" t="str">
        <f t="shared" si="1"/>
        <v>/creditorAccountNumber</v>
      </c>
    </row>
    <row r="39" spans="2:10">
      <c r="B39" s="22" t="s">
        <v>121</v>
      </c>
      <c r="C39" s="14" t="s">
        <v>122</v>
      </c>
      <c r="D39" s="14" t="s">
        <v>86</v>
      </c>
      <c r="E39" s="17" t="s">
        <v>17</v>
      </c>
      <c r="F39" s="18" t="s">
        <v>18</v>
      </c>
      <c r="G39" s="19" t="s">
        <v>29</v>
      </c>
      <c r="H39" s="14" t="s">
        <v>123</v>
      </c>
      <c r="I39" s="14" t="s">
        <v>124</v>
      </c>
      <c r="J39" s="13" t="str">
        <f t="shared" si="1"/>
        <v>/creditorAccountType</v>
      </c>
    </row>
    <row r="40" spans="2:10" ht="30">
      <c r="B40" s="22" t="s">
        <v>125</v>
      </c>
      <c r="C40" s="14" t="s">
        <v>126</v>
      </c>
      <c r="D40" s="14" t="s">
        <v>64</v>
      </c>
      <c r="E40" s="17" t="s">
        <v>17</v>
      </c>
      <c r="F40" s="18" t="s">
        <v>18</v>
      </c>
      <c r="G40" s="19" t="s">
        <v>29</v>
      </c>
      <c r="H40" s="14" t="s">
        <v>127</v>
      </c>
      <c r="I40" s="14" t="s">
        <v>128</v>
      </c>
      <c r="J40" s="13" t="str">
        <f t="shared" si="1"/>
        <v>/creditorName</v>
      </c>
    </row>
    <row r="41" spans="2:10" ht="30">
      <c r="B41" s="22" t="s">
        <v>129</v>
      </c>
      <c r="C41" s="14" t="s">
        <v>130</v>
      </c>
      <c r="D41" s="14" t="s">
        <v>16</v>
      </c>
      <c r="E41" s="17" t="s">
        <v>17</v>
      </c>
      <c r="F41" s="18" t="s">
        <v>18</v>
      </c>
      <c r="G41" s="19" t="s">
        <v>29</v>
      </c>
      <c r="H41" s="14" t="s">
        <v>131</v>
      </c>
      <c r="I41" s="14" t="s">
        <v>132</v>
      </c>
      <c r="J41" s="13" t="str">
        <f t="shared" si="1"/>
        <v>/creditorIdentification</v>
      </c>
    </row>
    <row r="42" spans="2:10" ht="45">
      <c r="B42" s="22" t="s">
        <v>133</v>
      </c>
      <c r="C42" s="14" t="s">
        <v>134</v>
      </c>
      <c r="D42" s="14" t="s">
        <v>64</v>
      </c>
      <c r="E42" s="17" t="s">
        <v>17</v>
      </c>
      <c r="F42" s="18" t="s">
        <v>51</v>
      </c>
      <c r="G42" s="19" t="s">
        <v>99</v>
      </c>
      <c r="H42" s="14" t="s">
        <v>135</v>
      </c>
      <c r="I42" s="14" t="s">
        <v>136</v>
      </c>
      <c r="J42" s="13" t="str">
        <f t="shared" si="1"/>
        <v>/creditorAddress</v>
      </c>
    </row>
    <row r="43" spans="2:10" ht="30">
      <c r="B43" s="22" t="s">
        <v>137</v>
      </c>
      <c r="C43" s="14" t="s">
        <v>138</v>
      </c>
      <c r="D43" s="14" t="s">
        <v>104</v>
      </c>
      <c r="E43" s="17" t="s">
        <v>17</v>
      </c>
      <c r="F43" s="18" t="s">
        <v>51</v>
      </c>
      <c r="G43" s="19" t="s">
        <v>99</v>
      </c>
      <c r="H43" s="14" t="s">
        <v>139</v>
      </c>
      <c r="I43" s="14" t="s">
        <v>140</v>
      </c>
      <c r="J43" s="13" t="str">
        <f t="shared" si="1"/>
        <v>/creditorCountry</v>
      </c>
    </row>
    <row r="44" spans="2:10" ht="30">
      <c r="B44" s="22" t="s">
        <v>141</v>
      </c>
      <c r="C44" s="14" t="s">
        <v>142</v>
      </c>
      <c r="D44" s="14" t="s">
        <v>104</v>
      </c>
      <c r="E44" s="17" t="s">
        <v>17</v>
      </c>
      <c r="F44" s="18" t="s">
        <v>51</v>
      </c>
      <c r="G44" s="19" t="s">
        <v>99</v>
      </c>
      <c r="H44" s="14" t="s">
        <v>143</v>
      </c>
      <c r="I44" s="14" t="s">
        <v>144</v>
      </c>
      <c r="J44" s="13" t="str">
        <f t="shared" si="1"/>
        <v>/originOfFunds</v>
      </c>
    </row>
    <row r="45" spans="2:10" ht="30">
      <c r="B45" s="22" t="s">
        <v>145</v>
      </c>
      <c r="C45" s="14" t="s">
        <v>146</v>
      </c>
      <c r="D45" s="14" t="s">
        <v>72</v>
      </c>
      <c r="E45" s="17" t="s">
        <v>73</v>
      </c>
      <c r="F45" s="18" t="s">
        <v>18</v>
      </c>
      <c r="G45" s="19" t="s">
        <v>29</v>
      </c>
      <c r="H45" s="14">
        <v>150000</v>
      </c>
      <c r="I45" s="14" t="s">
        <v>147</v>
      </c>
      <c r="J45" s="13" t="str">
        <f t="shared" si="1"/>
        <v>/amount</v>
      </c>
    </row>
    <row r="46" spans="2:10">
      <c r="B46" s="22" t="s">
        <v>148</v>
      </c>
      <c r="C46" s="14" t="s">
        <v>149</v>
      </c>
      <c r="D46" s="14" t="s">
        <v>150</v>
      </c>
      <c r="E46" s="17" t="s">
        <v>17</v>
      </c>
      <c r="F46" s="18" t="s">
        <v>18</v>
      </c>
      <c r="G46" s="19" t="s">
        <v>29</v>
      </c>
      <c r="H46" s="14" t="s">
        <v>151</v>
      </c>
      <c r="I46" s="14" t="s">
        <v>152</v>
      </c>
      <c r="J46" s="13" t="str">
        <f t="shared" si="1"/>
        <v>/currency</v>
      </c>
    </row>
    <row r="47" spans="2:10" ht="30">
      <c r="B47" s="22" t="s">
        <v>153</v>
      </c>
      <c r="C47" s="14" t="s">
        <v>154</v>
      </c>
      <c r="D47" s="14" t="s">
        <v>44</v>
      </c>
      <c r="E47" s="17" t="s">
        <v>45</v>
      </c>
      <c r="F47" s="18" t="s">
        <v>18</v>
      </c>
      <c r="G47" s="19" t="s">
        <v>29</v>
      </c>
      <c r="H47" s="14" t="s">
        <v>46</v>
      </c>
      <c r="I47" s="14" t="s">
        <v>155</v>
      </c>
      <c r="J47" s="13" t="str">
        <f t="shared" si="1"/>
        <v>/requestDateTime</v>
      </c>
    </row>
    <row r="48" spans="2:10" ht="30">
      <c r="B48" s="22" t="s">
        <v>156</v>
      </c>
      <c r="C48" s="14" t="s">
        <v>157</v>
      </c>
      <c r="D48" s="14" t="s">
        <v>158</v>
      </c>
      <c r="E48" s="17" t="s">
        <v>17</v>
      </c>
      <c r="F48" s="18" t="s">
        <v>51</v>
      </c>
      <c r="G48" s="19" t="s">
        <v>52</v>
      </c>
      <c r="H48" s="14" t="s">
        <v>159</v>
      </c>
      <c r="I48" s="14" t="s">
        <v>160</v>
      </c>
      <c r="J48" s="13" t="str">
        <f t="shared" si="1"/>
        <v>/suspiciousFlag</v>
      </c>
    </row>
    <row r="49" spans="2:10">
      <c r="B49" s="24" t="s">
        <v>161</v>
      </c>
      <c r="C49" s="25" t="s">
        <v>162</v>
      </c>
      <c r="D49" s="25" t="s">
        <v>163</v>
      </c>
      <c r="E49" s="26"/>
      <c r="F49" s="27" t="s">
        <v>51</v>
      </c>
      <c r="G49" s="28" t="s">
        <v>52</v>
      </c>
      <c r="H49" s="25"/>
      <c r="I49" s="14"/>
      <c r="J49" s="13" t="str">
        <f t="shared" si="1"/>
        <v>/fraudAnalysisData</v>
      </c>
    </row>
    <row r="50" spans="2:10" ht="30">
      <c r="B50" s="22" t="s">
        <v>164</v>
      </c>
      <c r="C50" s="14" t="s">
        <v>165</v>
      </c>
      <c r="D50" s="14" t="s">
        <v>64</v>
      </c>
      <c r="E50" s="17" t="s">
        <v>17</v>
      </c>
      <c r="F50" s="18" t="s">
        <v>51</v>
      </c>
      <c r="G50" s="19" t="s">
        <v>52</v>
      </c>
      <c r="H50" s="14" t="s">
        <v>166</v>
      </c>
      <c r="I50" s="14" t="s">
        <v>167</v>
      </c>
      <c r="J50" s="13" t="str">
        <f t="shared" si="1"/>
        <v>/purpose</v>
      </c>
    </row>
    <row r="51" spans="2:10" ht="30">
      <c r="B51" s="22" t="s">
        <v>168</v>
      </c>
      <c r="C51" s="14" t="s">
        <v>169</v>
      </c>
      <c r="D51" s="14" t="s">
        <v>158</v>
      </c>
      <c r="E51" s="12" t="s">
        <v>17</v>
      </c>
      <c r="F51" s="17" t="s">
        <v>51</v>
      </c>
      <c r="G51" s="18" t="s">
        <v>52</v>
      </c>
      <c r="H51" s="29" t="s">
        <v>159</v>
      </c>
      <c r="I51" s="14" t="s">
        <v>170</v>
      </c>
      <c r="J51" s="14" t="str">
        <f t="shared" ref="J51" si="2">CONCATENATE($J$16,"/",B51)</f>
        <v>/paymentsResponse/data/payment/refundIndicator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CFA40DDC-A9A7-4D43-B293-504EC3337F8C}"/>
</file>

<file path=customXml/itemProps2.xml><?xml version="1.0" encoding="utf-8"?>
<ds:datastoreItem xmlns:ds="http://schemas.openxmlformats.org/officeDocument/2006/customXml" ds:itemID="{E56A7428-16DA-43EC-8A5B-8DC06CF744F8}"/>
</file>

<file path=customXml/itemProps3.xml><?xml version="1.0" encoding="utf-8"?>
<ds:datastoreItem xmlns:ds="http://schemas.openxmlformats.org/officeDocument/2006/customXml" ds:itemID="{DCCAEDB1-5F7D-4856-A888-6706F43765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Payments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2025-06-13T12:07:06Z</dcterms:created>
  <dcterms:modified xsi:type="dcterms:W3CDTF">2025-06-13T12:07:58Z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