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13. Iniciación de pagos/payments/"/>
    </mc:Choice>
  </mc:AlternateContent>
  <xr:revisionPtr revIDLastSave="0" documentId="8_{75736281-F000-4BCD-98C6-E57D89062D8A}" xr6:coauthVersionLast="47" xr6:coauthVersionMax="47" xr10:uidLastSave="{00000000-0000-0000-0000-000000000000}"/>
  <bookViews>
    <workbookView xWindow="14370" yWindow="240" windowWidth="23895" windowHeight="15105" xr2:uid="{90B6ABED-10F1-4B19-8CAA-2FAA79D21DB7}"/>
  </bookViews>
  <sheets>
    <sheet name="Pay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" l="1"/>
  <c r="J39" i="1" s="1"/>
  <c r="J40" i="1" s="1"/>
  <c r="J6" i="1"/>
  <c r="J7" i="1" s="1"/>
  <c r="J8" i="1" s="1"/>
  <c r="J48" i="1" l="1"/>
  <c r="J47" i="1"/>
  <c r="J44" i="1"/>
  <c r="J43" i="1"/>
  <c r="J42" i="1"/>
  <c r="J41" i="1"/>
  <c r="J51" i="1"/>
  <c r="J46" i="1"/>
  <c r="J45" i="1"/>
  <c r="J74" i="1"/>
  <c r="J62" i="1"/>
  <c r="J73" i="1"/>
  <c r="J61" i="1"/>
  <c r="J33" i="1"/>
  <c r="J21" i="1"/>
  <c r="J9" i="1"/>
  <c r="J60" i="1"/>
  <c r="J32" i="1"/>
  <c r="J20" i="1"/>
  <c r="J24" i="1"/>
  <c r="J63" i="1"/>
  <c r="J10" i="1"/>
  <c r="J72" i="1"/>
  <c r="J71" i="1"/>
  <c r="J59" i="1"/>
  <c r="J31" i="1"/>
  <c r="J19" i="1"/>
  <c r="J16" i="1"/>
  <c r="J67" i="1"/>
  <c r="J15" i="1"/>
  <c r="J14" i="1"/>
  <c r="J53" i="1"/>
  <c r="J52" i="1"/>
  <c r="J23" i="1"/>
  <c r="J11" i="1"/>
  <c r="J22" i="1"/>
  <c r="J70" i="1"/>
  <c r="J58" i="1"/>
  <c r="J30" i="1"/>
  <c r="J18" i="1"/>
  <c r="J69" i="1"/>
  <c r="J57" i="1"/>
  <c r="J29" i="1"/>
  <c r="J17" i="1"/>
  <c r="J56" i="1"/>
  <c r="J28" i="1"/>
  <c r="J55" i="1"/>
  <c r="J27" i="1"/>
  <c r="J54" i="1"/>
  <c r="J26" i="1"/>
  <c r="J65" i="1"/>
  <c r="J25" i="1"/>
  <c r="J13" i="1"/>
  <c r="J64" i="1"/>
  <c r="J12" i="1"/>
  <c r="J68" i="1"/>
  <c r="J66" i="1"/>
  <c r="J50" i="1" l="1"/>
  <c r="J49" i="1"/>
</calcChain>
</file>

<file path=xl/sharedStrings.xml><?xml version="1.0" encoding="utf-8"?>
<sst xmlns="http://schemas.openxmlformats.org/spreadsheetml/2006/main" count="524" uniqueCount="163">
  <si>
    <t>API:</t>
  </si>
  <si>
    <t>Recurso: POST</t>
  </si>
  <si>
    <t xml:space="preserve"> /payments/v1/payments</t>
  </si>
  <si>
    <t>Request</t>
  </si>
  <si>
    <t>Name</t>
  </si>
  <si>
    <t>Glosa Field Name</t>
  </si>
  <si>
    <t>ISO20022 Type</t>
  </si>
  <si>
    <t>JSON Data Type</t>
  </si>
  <si>
    <t>Cardinalidad</t>
  </si>
  <si>
    <t>Mandatory</t>
  </si>
  <si>
    <t>Ejemplo</t>
  </si>
  <si>
    <t>Observaciones</t>
  </si>
  <si>
    <t>Path</t>
  </si>
  <si>
    <t>paymentsRequest</t>
  </si>
  <si>
    <t>Objeto global</t>
  </si>
  <si>
    <t>-</t>
  </si>
  <si>
    <t>object</t>
  </si>
  <si>
    <t>1..1</t>
  </si>
  <si>
    <t>Sí</t>
  </si>
  <si>
    <t>data</t>
  </si>
  <si>
    <t>Objeto data</t>
  </si>
  <si>
    <t>payments</t>
  </si>
  <si>
    <t>Arreglo de pagos</t>
  </si>
  <si>
    <t>array&lt;object&gt;</t>
  </si>
  <si>
    <t>1..*</t>
  </si>
  <si>
    <t>grantId</t>
  </si>
  <si>
    <t>Identificador del consentimiento</t>
  </si>
  <si>
    <t>Amount</t>
  </si>
  <si>
    <t>Number</t>
  </si>
  <si>
    <t>transactionType</t>
  </si>
  <si>
    <t>Tipo de Transacción</t>
  </si>
  <si>
    <t>Max35Text</t>
  </si>
  <si>
    <t>string</t>
  </si>
  <si>
    <t>"TEF"</t>
  </si>
  <si>
    <t>Indica la naturaleza del pago (ej. Transferencia Electrónica, pago recurrente, etc.).</t>
  </si>
  <si>
    <t>paymentLimit</t>
  </si>
  <si>
    <t>Límite de Pago (Recurrente)</t>
  </si>
  <si>
    <t>ActiveOrHistoricCurrencyAndAmount</t>
  </si>
  <si>
    <t>number</t>
  </si>
  <si>
    <t>0..1</t>
  </si>
  <si>
    <t>No</t>
  </si>
  <si>
    <t>Monto máximo permitido si se tratara de un programa de pagos recurrentes.</t>
  </si>
  <si>
    <t>debtorInstitutionId</t>
  </si>
  <si>
    <t>Banco/Institución del Ordenante</t>
  </si>
  <si>
    <t>FinancialInstitutionIdentification (FIId)</t>
  </si>
  <si>
    <t>"014"</t>
  </si>
  <si>
    <t>Código SBIF u otro identificador para la institución financiera del ordenante (Banco Estado = “014”).</t>
  </si>
  <si>
    <t>debtorAccountNumber</t>
  </si>
  <si>
    <t>Número de Cuenta del Ordenante</t>
  </si>
  <si>
    <t>"0123456789"</t>
  </si>
  <si>
    <t>Número de cuenta origen.</t>
  </si>
  <si>
    <t>debtorAccountType</t>
  </si>
  <si>
    <t>Tipo de Cuenta del Ordenante</t>
  </si>
  <si>
    <t>ExternalAccountTypeCode</t>
  </si>
  <si>
    <t>"CHECKING", "SAVINGS"</t>
  </si>
  <si>
    <t>Indica si es cuenta corriente, de ahorros, vista, etc.</t>
  </si>
  <si>
    <t>debtorName</t>
  </si>
  <si>
    <t>Nombre/Razón Social Ordenante</t>
  </si>
  <si>
    <t>Max140Text</t>
  </si>
  <si>
    <t>"Juan Pérez"</t>
  </si>
  <si>
    <t>Nombre completo (persona natural) o razón social (persona jurídica).</t>
  </si>
  <si>
    <t>debtorIdentification</t>
  </si>
  <si>
    <t>Identificación del Ordenante</t>
  </si>
  <si>
    <t>"12345678-9"</t>
  </si>
  <si>
    <t>Cédula/RUT para chilenos/residentes, pasaporte u otro para extranjeros, RUT/ID para personas jurídicas.</t>
  </si>
  <si>
    <t>debtorAddress</t>
  </si>
  <si>
    <t>Domicilio del Ordenante</t>
  </si>
  <si>
    <t>No*</t>
  </si>
  <si>
    <t>"Av. Providencia 123"</t>
  </si>
  <si>
    <t>Obligatorio si la transferencia ≥ 1.000 USD, según normativa AML. De lo contrario, puede ser opcional.</t>
  </si>
  <si>
    <t>debtorCountry</t>
  </si>
  <si>
    <t>País o Comuna del Ordenante</t>
  </si>
  <si>
    <t>CountryCode / Max70Text</t>
  </si>
  <si>
    <t>"Chile" o "Santiago"</t>
  </si>
  <si>
    <t>Para AML ≥ 1.000 USD, se exige país o comuna del ordenante.</t>
  </si>
  <si>
    <t>debtorPaymentMethod</t>
  </si>
  <si>
    <t>Forma de Pago del Ordenante</t>
  </si>
  <si>
    <t>ExternalPaymentMethodCode</t>
  </si>
  <si>
    <t>"ELEC", "CASH"</t>
  </si>
  <si>
    <t>Transferencia electrónica, efectivo, documentos, etc. Obligatorio si ≥ 1.000 USD.</t>
  </si>
  <si>
    <t>creditorInstitutionId</t>
  </si>
  <si>
    <t>Banco/Institución del Beneficiario</t>
  </si>
  <si>
    <t>FinancialInstitutionIdentification</t>
  </si>
  <si>
    <t>"001"</t>
  </si>
  <si>
    <t>Código SBIF u otro para la institución financiera del beneficiario (Banco de Chile = “001”).</t>
  </si>
  <si>
    <t>creditorAccountNumber</t>
  </si>
  <si>
    <t>Número de Cuenta del Beneficiario</t>
  </si>
  <si>
    <t>"9876543210"</t>
  </si>
  <si>
    <t>Número de cuenta destino.</t>
  </si>
  <si>
    <t>creditorAccountType</t>
  </si>
  <si>
    <t>Tipo de Cuenta del Beneficiario</t>
  </si>
  <si>
    <t>"CHECKING"</t>
  </si>
  <si>
    <t>Cuenta corriente, ahorros, vista, etc.</t>
  </si>
  <si>
    <t>creditorName</t>
  </si>
  <si>
    <t>Nombre/Razón Social Beneficiario</t>
  </si>
  <si>
    <t>"Roberto Ponce"</t>
  </si>
  <si>
    <t>Nombre completo o razón social del beneficiario.</t>
  </si>
  <si>
    <t>creditorIdentification</t>
  </si>
  <si>
    <t>Identificación del Beneficiario</t>
  </si>
  <si>
    <t>"11.222.333-4"</t>
  </si>
  <si>
    <t>RUT, cédula o documento similar (para extranjeros, pasaporte o ID equivalente).</t>
  </si>
  <si>
    <t>creditorAddress</t>
  </si>
  <si>
    <t>Domicilio del Beneficiario</t>
  </si>
  <si>
    <t>"Av. Las Condes 999"</t>
  </si>
  <si>
    <t>Obligatorio si ≥ 1.000 USD y la regulación AML lo requiera (p. ej. transferencias internacionales).</t>
  </si>
  <si>
    <t>creditorCountry</t>
  </si>
  <si>
    <t>País o Comuna del Beneficiario</t>
  </si>
  <si>
    <t>"Chile" o "Valparaíso"</t>
  </si>
  <si>
    <t>País/comuna de destino de los fondos. Exigido si ≥ 1.000 USD.</t>
  </si>
  <si>
    <t>originOfFunds</t>
  </si>
  <si>
    <t>País/Comuna de Origen de Fondos</t>
  </si>
  <si>
    <t>"Chile", "USA"</t>
  </si>
  <si>
    <t>Para AML en transferencias internacionales o montos altos.</t>
  </si>
  <si>
    <t>amount</t>
  </si>
  <si>
    <t>Monto de la Transferencia</t>
  </si>
  <si>
    <t>Valor numérico de la operación.</t>
  </si>
  <si>
    <t>currency</t>
  </si>
  <si>
    <t>Moneda de la Transferencia</t>
  </si>
  <si>
    <t>ActiveOrHistoricCurrencyCode</t>
  </si>
  <si>
    <t>"CLP"</t>
  </si>
  <si>
    <t>Ej. CLP (pesos chilenos), USD (dólares), etc.</t>
  </si>
  <si>
    <t>requestDateTime</t>
  </si>
  <si>
    <t>Fecha/Hora de la Orden</t>
  </si>
  <si>
    <t>ISODateTimeText</t>
  </si>
  <si>
    <t>string (date-time)</t>
  </si>
  <si>
    <t>"2025-05-30T10:30:00Z"</t>
  </si>
  <si>
    <t>Momento en que se instruye la TEF (Formato ISO 8601).</t>
  </si>
  <si>
    <t>suspiciousFlag</t>
  </si>
  <si>
    <t>Indicador de Sospecha AML/Fraude</t>
  </si>
  <si>
    <t>Max10Text (Enum)</t>
  </si>
  <si>
    <t>"YES", "NO"</t>
  </si>
  <si>
    <t>Puede marcar la operación como sospechosa para mayor revisión.</t>
  </si>
  <si>
    <t>fraudAnalysisData</t>
  </si>
  <si>
    <t>Datos de Análisis de Fraude</t>
  </si>
  <si>
    <t>object (JSON)</t>
  </si>
  <si>
    <t>purpose</t>
  </si>
  <si>
    <t>Motivo o Descripción del Pago</t>
  </si>
  <si>
    <t>"Pago de servicios"</t>
  </si>
  <si>
    <t>Detalle o referencia de la transacción (factura, servicios, etc.).</t>
  </si>
  <si>
    <t>RESPONSE</t>
  </si>
  <si>
    <t>paymentsResponse</t>
  </si>
  <si>
    <t>paymentId</t>
  </si>
  <si>
    <t>Identificador del pago</t>
  </si>
  <si>
    <t>Si</t>
  </si>
  <si>
    <t>PAY-20250001</t>
  </si>
  <si>
    <t>creationDateTime</t>
  </si>
  <si>
    <t>Fecha creación de la iniciación de pago</t>
  </si>
  <si>
    <t>statusUpdateDateTime</t>
  </si>
  <si>
    <t>Fecha de actualización del estado de pago</t>
  </si>
  <si>
    <t>expectedExecutionDateTime</t>
  </si>
  <si>
    <t>Fecha de ejecución del pago</t>
  </si>
  <si>
    <t>expectedSettlementDateTime</t>
  </si>
  <si>
    <t>Fecha de liquidez del pago</t>
  </si>
  <si>
    <t>paymentStatus</t>
  </si>
  <si>
    <t>Estado del pago</t>
  </si>
  <si>
    <t>Pendiente</t>
  </si>
  <si>
    <t>statusReason</t>
  </si>
  <si>
    <t>Object</t>
  </si>
  <si>
    <t>statusReasonCode</t>
  </si>
  <si>
    <t>Código del estado del pago</t>
  </si>
  <si>
    <t>description</t>
  </si>
  <si>
    <t>Descripción asociado al código del estado de pago</t>
  </si>
  <si>
    <t>Pago pendiente de aprobación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</si>
</sst>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1" applyFont="1" applyFill="1" applyAlignment="1">
      <alignment horizontal="left" vertical="center" indent="1"/>
    </xf>
    <xf numFmtId="0" fontId="4" fillId="2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4" fillId="0" borderId="0" xfId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3" fillId="2" borderId="1" xfId="0" applyFont="1" applyFill="1" applyBorder="1" applyAlignment="1">
      <alignment horizontal="left" vertical="center" wrapText="1" indent="3"/>
    </xf>
    <xf numFmtId="0" fontId="0" fillId="2" borderId="1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4"/>
    </xf>
  </cellXfs>
  <cellStyles count="3">
    <cellStyle name="Fecha" xfId="2" xr:uid="{E86B45C0-A5DC-4FF4-A832-0F34225867BE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371459</xdr:colOff>
      <xdr:row>0</xdr:row>
      <xdr:rowOff>0</xdr:rowOff>
    </xdr:from>
    <xdr:to>
      <xdr:col>8</xdr:col>
      <xdr:colOff>375</xdr:colOff>
      <xdr:row>1</xdr:row>
      <xdr:rowOff>98312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3AF7F665-1F4A-4E8B-B74F-4F1537345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1334" y="0"/>
          <a:ext cx="1921639" cy="993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2</xdr:col>
      <xdr:colOff>106268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D3678E-A11B-4552-9C68-050123E79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63794"/>
          <a:ext cx="2268443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64BF-D064-404F-A39B-FE4274B6A77A}">
  <dimension ref="B1:L74"/>
  <sheetViews>
    <sheetView showGridLines="0" tabSelected="1" zoomScale="85" zoomScaleNormal="85" workbookViewId="0">
      <selection activeCell="C14" sqref="C14"/>
    </sheetView>
  </sheetViews>
  <sheetFormatPr baseColWidth="10" defaultColWidth="11.28515625" defaultRowHeight="15"/>
  <cols>
    <col min="1" max="1" width="6.7109375" customWidth="1"/>
    <col min="2" max="2" width="32.42578125" customWidth="1"/>
    <col min="3" max="3" width="24.7109375" customWidth="1"/>
    <col min="4" max="4" width="23.28515625" customWidth="1"/>
    <col min="5" max="5" width="19.7109375" style="2" bestFit="1" customWidth="1"/>
    <col min="6" max="6" width="15.42578125" style="2" customWidth="1"/>
    <col min="7" max="7" width="13.7109375" style="2" customWidth="1"/>
    <col min="8" max="8" width="20.7109375" bestFit="1" customWidth="1"/>
    <col min="9" max="9" width="69.7109375" style="3" customWidth="1"/>
    <col min="10" max="10" width="66.7109375" style="3" customWidth="1"/>
  </cols>
  <sheetData>
    <row r="1" spans="2:10" ht="70.5" customHeight="1">
      <c r="B1" s="1"/>
    </row>
    <row r="2" spans="2:10" ht="21" customHeight="1">
      <c r="B2" s="4" t="s">
        <v>0</v>
      </c>
      <c r="C2" s="5" t="s">
        <v>1</v>
      </c>
      <c r="D2" s="6" t="s">
        <v>2</v>
      </c>
      <c r="G2" s="7"/>
      <c r="H2" s="6"/>
    </row>
    <row r="4" spans="2:10" ht="21">
      <c r="B4" s="4" t="s">
        <v>3</v>
      </c>
    </row>
    <row r="5" spans="2:10">
      <c r="B5" s="8" t="s">
        <v>4</v>
      </c>
      <c r="C5" s="9" t="s">
        <v>5</v>
      </c>
      <c r="D5" s="9" t="s">
        <v>6</v>
      </c>
      <c r="E5" s="8" t="s">
        <v>7</v>
      </c>
      <c r="F5" s="10" t="s">
        <v>8</v>
      </c>
      <c r="G5" s="8" t="s">
        <v>9</v>
      </c>
      <c r="H5" s="9" t="s">
        <v>10</v>
      </c>
      <c r="I5" s="9" t="s">
        <v>11</v>
      </c>
      <c r="J5" s="9" t="s">
        <v>12</v>
      </c>
    </row>
    <row r="6" spans="2:10">
      <c r="B6" s="11" t="s">
        <v>13</v>
      </c>
      <c r="C6" s="12" t="s">
        <v>14</v>
      </c>
      <c r="D6" s="12" t="s">
        <v>15</v>
      </c>
      <c r="E6" s="13" t="s">
        <v>16</v>
      </c>
      <c r="F6" s="14" t="s">
        <v>17</v>
      </c>
      <c r="G6" s="15" t="s">
        <v>18</v>
      </c>
      <c r="H6" s="16" t="s">
        <v>15</v>
      </c>
      <c r="I6" s="16"/>
      <c r="J6" s="17" t="str">
        <f>CONCATENATE("/",B6)</f>
        <v>/paymentsRequest</v>
      </c>
    </row>
    <row r="7" spans="2:10">
      <c r="B7" s="18" t="s">
        <v>19</v>
      </c>
      <c r="C7" s="12" t="s">
        <v>20</v>
      </c>
      <c r="D7" s="12" t="s">
        <v>15</v>
      </c>
      <c r="E7" s="13" t="s">
        <v>16</v>
      </c>
      <c r="F7" s="14" t="s">
        <v>17</v>
      </c>
      <c r="G7" s="15" t="s">
        <v>18</v>
      </c>
      <c r="H7" s="16" t="s">
        <v>15</v>
      </c>
      <c r="I7" s="16"/>
      <c r="J7" s="17" t="str">
        <f>CONCATENATE(J6,"/",B7)</f>
        <v>/paymentsRequest/data</v>
      </c>
    </row>
    <row r="8" spans="2:10">
      <c r="B8" s="19" t="s">
        <v>21</v>
      </c>
      <c r="C8" s="12" t="s">
        <v>22</v>
      </c>
      <c r="D8" s="12" t="s">
        <v>15</v>
      </c>
      <c r="E8" s="13" t="s">
        <v>23</v>
      </c>
      <c r="F8" s="14" t="s">
        <v>24</v>
      </c>
      <c r="G8" s="15" t="s">
        <v>18</v>
      </c>
      <c r="H8" s="16" t="s">
        <v>15</v>
      </c>
      <c r="I8" s="16"/>
      <c r="J8" s="17" t="str">
        <f>CONCATENATE(J7,"/",B8)</f>
        <v>/paymentsRequest/data/payments</v>
      </c>
    </row>
    <row r="9" spans="2:10" ht="30">
      <c r="B9" s="20" t="s">
        <v>25</v>
      </c>
      <c r="C9" s="12" t="s">
        <v>26</v>
      </c>
      <c r="D9" s="12" t="s">
        <v>27</v>
      </c>
      <c r="E9" s="13" t="s">
        <v>28</v>
      </c>
      <c r="F9" s="14" t="s">
        <v>17</v>
      </c>
      <c r="G9" s="15" t="s">
        <v>18</v>
      </c>
      <c r="H9" s="16">
        <v>40056</v>
      </c>
      <c r="I9" s="16" t="s">
        <v>26</v>
      </c>
      <c r="J9" s="17" t="str">
        <f>CONCATENATE(J8,"/",B9)</f>
        <v>/paymentsRequest/data/payments/grantId</v>
      </c>
    </row>
    <row r="10" spans="2:10" ht="30">
      <c r="B10" s="20" t="s">
        <v>29</v>
      </c>
      <c r="C10" s="12" t="s">
        <v>30</v>
      </c>
      <c r="D10" s="12" t="s">
        <v>31</v>
      </c>
      <c r="E10" s="13" t="s">
        <v>32</v>
      </c>
      <c r="F10" s="14" t="s">
        <v>17</v>
      </c>
      <c r="G10" s="15" t="s">
        <v>18</v>
      </c>
      <c r="H10" s="16" t="s">
        <v>33</v>
      </c>
      <c r="I10" s="16" t="s">
        <v>34</v>
      </c>
      <c r="J10" s="17" t="str">
        <f>CONCATENATE(J8,"/",B10)</f>
        <v>/paymentsRequest/data/payments/transactionType</v>
      </c>
    </row>
    <row r="11" spans="2:10" ht="30">
      <c r="B11" s="21" t="s">
        <v>35</v>
      </c>
      <c r="C11" s="12" t="s">
        <v>36</v>
      </c>
      <c r="D11" s="12" t="s">
        <v>37</v>
      </c>
      <c r="E11" s="13" t="s">
        <v>38</v>
      </c>
      <c r="F11" s="14" t="s">
        <v>39</v>
      </c>
      <c r="G11" s="15" t="s">
        <v>40</v>
      </c>
      <c r="H11" s="16">
        <v>200000</v>
      </c>
      <c r="I11" s="16" t="s">
        <v>41</v>
      </c>
      <c r="J11" s="17" t="str">
        <f>CONCATENATE($J$8,"/",B11)</f>
        <v>/paymentsRequest/data/payments/paymentLimit</v>
      </c>
    </row>
    <row r="12" spans="2:10" ht="30">
      <c r="B12" s="20" t="s">
        <v>42</v>
      </c>
      <c r="C12" s="12" t="s">
        <v>43</v>
      </c>
      <c r="D12" s="12" t="s">
        <v>44</v>
      </c>
      <c r="E12" s="13" t="s">
        <v>32</v>
      </c>
      <c r="F12" s="14" t="s">
        <v>17</v>
      </c>
      <c r="G12" s="15" t="s">
        <v>18</v>
      </c>
      <c r="H12" s="16" t="s">
        <v>45</v>
      </c>
      <c r="I12" s="16" t="s">
        <v>46</v>
      </c>
      <c r="J12" s="17" t="str">
        <f t="shared" ref="J12:J33" si="0">CONCATENATE($J$8,"/",B12)</f>
        <v>/paymentsRequest/data/payments/debtorInstitutionId</v>
      </c>
    </row>
    <row r="13" spans="2:10" ht="30.75" customHeight="1">
      <c r="B13" s="20" t="s">
        <v>47</v>
      </c>
      <c r="C13" s="12" t="s">
        <v>48</v>
      </c>
      <c r="D13" s="12" t="s">
        <v>31</v>
      </c>
      <c r="E13" s="13" t="s">
        <v>32</v>
      </c>
      <c r="F13" s="14" t="s">
        <v>17</v>
      </c>
      <c r="G13" s="15" t="s">
        <v>18</v>
      </c>
      <c r="H13" s="16" t="s">
        <v>49</v>
      </c>
      <c r="I13" s="16" t="s">
        <v>50</v>
      </c>
      <c r="J13" s="17" t="str">
        <f t="shared" si="0"/>
        <v>/paymentsRequest/data/payments/debtorAccountNumber</v>
      </c>
    </row>
    <row r="14" spans="2:10" ht="30">
      <c r="B14" s="20" t="s">
        <v>51</v>
      </c>
      <c r="C14" s="12" t="s">
        <v>52</v>
      </c>
      <c r="D14" s="12" t="s">
        <v>53</v>
      </c>
      <c r="E14" s="13" t="s">
        <v>32</v>
      </c>
      <c r="F14" s="14" t="s">
        <v>17</v>
      </c>
      <c r="G14" s="15" t="s">
        <v>18</v>
      </c>
      <c r="H14" s="16" t="s">
        <v>54</v>
      </c>
      <c r="I14" s="16" t="s">
        <v>55</v>
      </c>
      <c r="J14" s="17" t="str">
        <f t="shared" si="0"/>
        <v>/paymentsRequest/data/payments/debtorAccountType</v>
      </c>
    </row>
    <row r="15" spans="2:10" ht="30">
      <c r="B15" s="20" t="s">
        <v>56</v>
      </c>
      <c r="C15" s="16" t="s">
        <v>57</v>
      </c>
      <c r="D15" s="16" t="s">
        <v>58</v>
      </c>
      <c r="E15" s="13" t="s">
        <v>32</v>
      </c>
      <c r="F15" s="14" t="s">
        <v>17</v>
      </c>
      <c r="G15" s="15" t="s">
        <v>18</v>
      </c>
      <c r="H15" s="16" t="s">
        <v>59</v>
      </c>
      <c r="I15" s="16" t="s">
        <v>60</v>
      </c>
      <c r="J15" s="17" t="str">
        <f t="shared" si="0"/>
        <v>/paymentsRequest/data/payments/debtorName</v>
      </c>
    </row>
    <row r="16" spans="2:10" ht="39" customHeight="1">
      <c r="B16" s="20" t="s">
        <v>61</v>
      </c>
      <c r="C16" s="16" t="s">
        <v>62</v>
      </c>
      <c r="D16" s="16" t="s">
        <v>31</v>
      </c>
      <c r="E16" s="13" t="s">
        <v>32</v>
      </c>
      <c r="F16" s="14" t="s">
        <v>17</v>
      </c>
      <c r="G16" s="15" t="s">
        <v>18</v>
      </c>
      <c r="H16" s="16" t="s">
        <v>63</v>
      </c>
      <c r="I16" s="16" t="s">
        <v>64</v>
      </c>
      <c r="J16" s="17" t="str">
        <f t="shared" si="0"/>
        <v>/paymentsRequest/data/payments/debtorIdentification</v>
      </c>
    </row>
    <row r="17" spans="2:10" ht="30">
      <c r="B17" s="20" t="s">
        <v>65</v>
      </c>
      <c r="C17" s="16" t="s">
        <v>66</v>
      </c>
      <c r="D17" s="16" t="s">
        <v>58</v>
      </c>
      <c r="E17" s="13" t="s">
        <v>32</v>
      </c>
      <c r="F17" s="14" t="s">
        <v>39</v>
      </c>
      <c r="G17" s="15" t="s">
        <v>67</v>
      </c>
      <c r="H17" s="16" t="s">
        <v>68</v>
      </c>
      <c r="I17" s="16" t="s">
        <v>69</v>
      </c>
      <c r="J17" s="17" t="str">
        <f t="shared" si="0"/>
        <v>/paymentsRequest/data/payments/debtorAddress</v>
      </c>
    </row>
    <row r="18" spans="2:10" ht="30">
      <c r="B18" s="20" t="s">
        <v>70</v>
      </c>
      <c r="C18" s="16" t="s">
        <v>71</v>
      </c>
      <c r="D18" s="16" t="s">
        <v>72</v>
      </c>
      <c r="E18" s="13" t="s">
        <v>32</v>
      </c>
      <c r="F18" s="14" t="s">
        <v>39</v>
      </c>
      <c r="G18" s="15" t="s">
        <v>67</v>
      </c>
      <c r="H18" s="16" t="s">
        <v>73</v>
      </c>
      <c r="I18" s="16" t="s">
        <v>74</v>
      </c>
      <c r="J18" s="17" t="str">
        <f t="shared" si="0"/>
        <v>/paymentsRequest/data/payments/debtorCountry</v>
      </c>
    </row>
    <row r="19" spans="2:10" ht="30">
      <c r="B19" s="20" t="s">
        <v>75</v>
      </c>
      <c r="C19" s="16" t="s">
        <v>76</v>
      </c>
      <c r="D19" s="16" t="s">
        <v>77</v>
      </c>
      <c r="E19" s="13" t="s">
        <v>32</v>
      </c>
      <c r="F19" s="14" t="s">
        <v>39</v>
      </c>
      <c r="G19" s="15" t="s">
        <v>67</v>
      </c>
      <c r="H19" s="16" t="s">
        <v>78</v>
      </c>
      <c r="I19" s="16" t="s">
        <v>79</v>
      </c>
      <c r="J19" s="17" t="str">
        <f t="shared" si="0"/>
        <v>/paymentsRequest/data/payments/debtorPaymentMethod</v>
      </c>
    </row>
    <row r="20" spans="2:10" ht="30">
      <c r="B20" s="20" t="s">
        <v>80</v>
      </c>
      <c r="C20" s="16" t="s">
        <v>81</v>
      </c>
      <c r="D20" s="16" t="s">
        <v>82</v>
      </c>
      <c r="E20" s="13" t="s">
        <v>32</v>
      </c>
      <c r="F20" s="14" t="s">
        <v>39</v>
      </c>
      <c r="G20" s="15" t="s">
        <v>18</v>
      </c>
      <c r="H20" s="16" t="s">
        <v>83</v>
      </c>
      <c r="I20" s="16" t="s">
        <v>84</v>
      </c>
      <c r="J20" s="17" t="str">
        <f t="shared" si="0"/>
        <v>/paymentsRequest/data/payments/creditorInstitutionId</v>
      </c>
    </row>
    <row r="21" spans="2:10" ht="30">
      <c r="B21" s="20" t="s">
        <v>85</v>
      </c>
      <c r="C21" s="16" t="s">
        <v>86</v>
      </c>
      <c r="D21" s="16" t="s">
        <v>31</v>
      </c>
      <c r="E21" s="13" t="s">
        <v>32</v>
      </c>
      <c r="F21" s="14" t="s">
        <v>17</v>
      </c>
      <c r="G21" s="15" t="s">
        <v>18</v>
      </c>
      <c r="H21" s="16" t="s">
        <v>87</v>
      </c>
      <c r="I21" s="16" t="s">
        <v>88</v>
      </c>
      <c r="J21" s="17" t="str">
        <f t="shared" si="0"/>
        <v>/paymentsRequest/data/payments/creditorAccountNumber</v>
      </c>
    </row>
    <row r="22" spans="2:10" ht="30">
      <c r="B22" s="20" t="s">
        <v>89</v>
      </c>
      <c r="C22" s="16" t="s">
        <v>90</v>
      </c>
      <c r="D22" s="16" t="s">
        <v>53</v>
      </c>
      <c r="E22" s="13" t="s">
        <v>32</v>
      </c>
      <c r="F22" s="14" t="s">
        <v>17</v>
      </c>
      <c r="G22" s="15" t="s">
        <v>18</v>
      </c>
      <c r="H22" s="16" t="s">
        <v>91</v>
      </c>
      <c r="I22" s="16" t="s">
        <v>92</v>
      </c>
      <c r="J22" s="17" t="str">
        <f t="shared" si="0"/>
        <v>/paymentsRequest/data/payments/creditorAccountType</v>
      </c>
    </row>
    <row r="23" spans="2:10" ht="30">
      <c r="B23" s="20" t="s">
        <v>93</v>
      </c>
      <c r="C23" s="16" t="s">
        <v>94</v>
      </c>
      <c r="D23" s="16" t="s">
        <v>58</v>
      </c>
      <c r="E23" s="13" t="s">
        <v>32</v>
      </c>
      <c r="F23" s="14" t="s">
        <v>17</v>
      </c>
      <c r="G23" s="15" t="s">
        <v>18</v>
      </c>
      <c r="H23" s="16" t="s">
        <v>95</v>
      </c>
      <c r="I23" s="16" t="s">
        <v>96</v>
      </c>
      <c r="J23" s="17" t="str">
        <f t="shared" si="0"/>
        <v>/paymentsRequest/data/payments/creditorName</v>
      </c>
    </row>
    <row r="24" spans="2:10" ht="30">
      <c r="B24" s="20" t="s">
        <v>97</v>
      </c>
      <c r="C24" s="16" t="s">
        <v>98</v>
      </c>
      <c r="D24" s="16" t="s">
        <v>31</v>
      </c>
      <c r="E24" s="13" t="s">
        <v>32</v>
      </c>
      <c r="F24" s="14" t="s">
        <v>17</v>
      </c>
      <c r="G24" s="15" t="s">
        <v>18</v>
      </c>
      <c r="H24" s="16" t="s">
        <v>99</v>
      </c>
      <c r="I24" s="16" t="s">
        <v>100</v>
      </c>
      <c r="J24" s="17" t="str">
        <f t="shared" si="0"/>
        <v>/paymentsRequest/data/payments/creditorIdentification</v>
      </c>
    </row>
    <row r="25" spans="2:10" ht="30">
      <c r="B25" s="20" t="s">
        <v>101</v>
      </c>
      <c r="C25" s="16" t="s">
        <v>102</v>
      </c>
      <c r="D25" s="16" t="s">
        <v>58</v>
      </c>
      <c r="E25" s="13" t="s">
        <v>32</v>
      </c>
      <c r="F25" s="14" t="s">
        <v>39</v>
      </c>
      <c r="G25" s="15" t="s">
        <v>67</v>
      </c>
      <c r="H25" s="16" t="s">
        <v>103</v>
      </c>
      <c r="I25" s="16" t="s">
        <v>104</v>
      </c>
      <c r="J25" s="17" t="str">
        <f t="shared" si="0"/>
        <v>/paymentsRequest/data/payments/creditorAddress</v>
      </c>
    </row>
    <row r="26" spans="2:10" ht="30">
      <c r="B26" s="20" t="s">
        <v>105</v>
      </c>
      <c r="C26" s="16" t="s">
        <v>106</v>
      </c>
      <c r="D26" s="16" t="s">
        <v>72</v>
      </c>
      <c r="E26" s="13" t="s">
        <v>32</v>
      </c>
      <c r="F26" s="14" t="s">
        <v>39</v>
      </c>
      <c r="G26" s="15" t="s">
        <v>67</v>
      </c>
      <c r="H26" s="16" t="s">
        <v>107</v>
      </c>
      <c r="I26" s="16" t="s">
        <v>108</v>
      </c>
      <c r="J26" s="17" t="str">
        <f t="shared" si="0"/>
        <v>/paymentsRequest/data/payments/creditorCountry</v>
      </c>
    </row>
    <row r="27" spans="2:10" ht="30">
      <c r="B27" s="20" t="s">
        <v>109</v>
      </c>
      <c r="C27" s="16" t="s">
        <v>110</v>
      </c>
      <c r="D27" s="16" t="s">
        <v>72</v>
      </c>
      <c r="E27" s="13" t="s">
        <v>32</v>
      </c>
      <c r="F27" s="14" t="s">
        <v>39</v>
      </c>
      <c r="G27" s="15" t="s">
        <v>67</v>
      </c>
      <c r="H27" s="16" t="s">
        <v>111</v>
      </c>
      <c r="I27" s="16" t="s">
        <v>112</v>
      </c>
      <c r="J27" s="17" t="str">
        <f t="shared" si="0"/>
        <v>/paymentsRequest/data/payments/originOfFunds</v>
      </c>
    </row>
    <row r="28" spans="2:10" ht="26.45" customHeight="1">
      <c r="B28" s="20" t="s">
        <v>113</v>
      </c>
      <c r="C28" s="16" t="s">
        <v>114</v>
      </c>
      <c r="D28" s="16" t="s">
        <v>37</v>
      </c>
      <c r="E28" s="13" t="s">
        <v>38</v>
      </c>
      <c r="F28" s="14" t="s">
        <v>17</v>
      </c>
      <c r="G28" s="15" t="s">
        <v>18</v>
      </c>
      <c r="H28" s="16">
        <v>150000</v>
      </c>
      <c r="I28" s="16" t="s">
        <v>115</v>
      </c>
      <c r="J28" s="17" t="str">
        <f t="shared" si="0"/>
        <v>/paymentsRequest/data/payments/amount</v>
      </c>
    </row>
    <row r="29" spans="2:10" ht="30">
      <c r="B29" s="20" t="s">
        <v>116</v>
      </c>
      <c r="C29" s="16" t="s">
        <v>117</v>
      </c>
      <c r="D29" s="16" t="s">
        <v>118</v>
      </c>
      <c r="E29" s="13" t="s">
        <v>32</v>
      </c>
      <c r="F29" s="14" t="s">
        <v>17</v>
      </c>
      <c r="G29" s="15" t="s">
        <v>18</v>
      </c>
      <c r="H29" s="16" t="s">
        <v>119</v>
      </c>
      <c r="I29" s="16" t="s">
        <v>120</v>
      </c>
      <c r="J29" s="17" t="str">
        <f t="shared" si="0"/>
        <v>/paymentsRequest/data/payments/currency</v>
      </c>
    </row>
    <row r="30" spans="2:10" ht="30">
      <c r="B30" s="20" t="s">
        <v>121</v>
      </c>
      <c r="C30" s="16" t="s">
        <v>122</v>
      </c>
      <c r="D30" s="16" t="s">
        <v>123</v>
      </c>
      <c r="E30" s="13" t="s">
        <v>124</v>
      </c>
      <c r="F30" s="14" t="s">
        <v>17</v>
      </c>
      <c r="G30" s="15" t="s">
        <v>18</v>
      </c>
      <c r="H30" s="16" t="s">
        <v>125</v>
      </c>
      <c r="I30" s="16" t="s">
        <v>126</v>
      </c>
      <c r="J30" s="17" t="str">
        <f t="shared" si="0"/>
        <v>/paymentsRequest/data/payments/requestDateTime</v>
      </c>
    </row>
    <row r="31" spans="2:10" ht="30">
      <c r="B31" s="20" t="s">
        <v>127</v>
      </c>
      <c r="C31" s="16" t="s">
        <v>128</v>
      </c>
      <c r="D31" s="16" t="s">
        <v>129</v>
      </c>
      <c r="E31" s="13" t="s">
        <v>32</v>
      </c>
      <c r="F31" s="14" t="s">
        <v>39</v>
      </c>
      <c r="G31" s="15" t="s">
        <v>40</v>
      </c>
      <c r="H31" s="16" t="s">
        <v>130</v>
      </c>
      <c r="I31" s="16" t="s">
        <v>131</v>
      </c>
      <c r="J31" s="17" t="str">
        <f t="shared" si="0"/>
        <v>/paymentsRequest/data/payments/suspiciousFlag</v>
      </c>
    </row>
    <row r="32" spans="2:10" ht="30">
      <c r="B32" s="21" t="s">
        <v>132</v>
      </c>
      <c r="C32" s="22" t="s">
        <v>133</v>
      </c>
      <c r="D32" s="22" t="s">
        <v>134</v>
      </c>
      <c r="E32" s="23"/>
      <c r="F32" s="24" t="s">
        <v>39</v>
      </c>
      <c r="G32" s="25" t="s">
        <v>40</v>
      </c>
      <c r="H32" s="22"/>
      <c r="I32" s="16"/>
      <c r="J32" s="17" t="str">
        <f t="shared" si="0"/>
        <v>/paymentsRequest/data/payments/fraudAnalysisData</v>
      </c>
    </row>
    <row r="33" spans="2:10" ht="30">
      <c r="B33" s="20" t="s">
        <v>135</v>
      </c>
      <c r="C33" s="16" t="s">
        <v>136</v>
      </c>
      <c r="D33" s="16" t="s">
        <v>58</v>
      </c>
      <c r="E33" s="13" t="s">
        <v>32</v>
      </c>
      <c r="F33" s="14" t="s">
        <v>39</v>
      </c>
      <c r="G33" s="15" t="s">
        <v>40</v>
      </c>
      <c r="H33" s="16" t="s">
        <v>137</v>
      </c>
      <c r="I33" s="16" t="s">
        <v>138</v>
      </c>
      <c r="J33" s="17" t="str">
        <f t="shared" si="0"/>
        <v>/paymentsRequest/data/payments/purpose</v>
      </c>
    </row>
    <row r="36" spans="2:10" ht="21">
      <c r="B36" s="4" t="s">
        <v>139</v>
      </c>
    </row>
    <row r="37" spans="2:10">
      <c r="B37" s="8" t="s">
        <v>4</v>
      </c>
      <c r="C37" s="9" t="s">
        <v>5</v>
      </c>
      <c r="D37" s="9" t="s">
        <v>6</v>
      </c>
      <c r="E37" s="8" t="s">
        <v>7</v>
      </c>
      <c r="F37" s="10" t="s">
        <v>8</v>
      </c>
      <c r="G37" s="8" t="s">
        <v>9</v>
      </c>
      <c r="H37" s="9" t="s">
        <v>10</v>
      </c>
      <c r="I37" s="9" t="s">
        <v>11</v>
      </c>
      <c r="J37" s="9" t="s">
        <v>12</v>
      </c>
    </row>
    <row r="38" spans="2:10">
      <c r="B38" s="11" t="s">
        <v>140</v>
      </c>
      <c r="C38" s="12" t="s">
        <v>14</v>
      </c>
      <c r="D38" s="12" t="s">
        <v>15</v>
      </c>
      <c r="E38" s="13" t="s">
        <v>16</v>
      </c>
      <c r="F38" s="14" t="s">
        <v>17</v>
      </c>
      <c r="G38" s="15" t="s">
        <v>18</v>
      </c>
      <c r="H38" s="16" t="s">
        <v>15</v>
      </c>
      <c r="I38" s="16"/>
      <c r="J38" s="17" t="str">
        <f>CONCATENATE("/",B38)</f>
        <v>/paymentsResponse</v>
      </c>
    </row>
    <row r="39" spans="2:10">
      <c r="B39" s="18" t="s">
        <v>19</v>
      </c>
      <c r="C39" s="12" t="s">
        <v>20</v>
      </c>
      <c r="D39" s="12" t="s">
        <v>15</v>
      </c>
      <c r="E39" s="13" t="s">
        <v>16</v>
      </c>
      <c r="F39" s="14" t="s">
        <v>17</v>
      </c>
      <c r="G39" s="15" t="s">
        <v>18</v>
      </c>
      <c r="H39" s="16" t="s">
        <v>15</v>
      </c>
      <c r="I39" s="16"/>
      <c r="J39" s="17" t="str">
        <f>CONCATENATE(J38,"/",B39)</f>
        <v>/paymentsResponse/data</v>
      </c>
    </row>
    <row r="40" spans="2:10">
      <c r="B40" s="19" t="s">
        <v>21</v>
      </c>
      <c r="C40" s="12" t="s">
        <v>22</v>
      </c>
      <c r="D40" s="12" t="s">
        <v>15</v>
      </c>
      <c r="E40" s="13" t="s">
        <v>23</v>
      </c>
      <c r="F40" s="14" t="s">
        <v>24</v>
      </c>
      <c r="G40" s="15" t="s">
        <v>18</v>
      </c>
      <c r="H40" s="16" t="s">
        <v>15</v>
      </c>
      <c r="I40" s="16"/>
      <c r="J40" s="17" t="str">
        <f>CONCATENATE(J39,"/",B40)</f>
        <v>/paymentsResponse/data/payments</v>
      </c>
    </row>
    <row r="41" spans="2:10">
      <c r="B41" s="20" t="s">
        <v>141</v>
      </c>
      <c r="C41" s="12" t="s">
        <v>142</v>
      </c>
      <c r="D41" s="16" t="s">
        <v>31</v>
      </c>
      <c r="E41" s="13" t="s">
        <v>32</v>
      </c>
      <c r="F41" s="14" t="s">
        <v>17</v>
      </c>
      <c r="G41" s="15" t="s">
        <v>143</v>
      </c>
      <c r="H41" s="16" t="s">
        <v>144</v>
      </c>
      <c r="I41" s="12" t="s">
        <v>142</v>
      </c>
      <c r="J41" s="17" t="str">
        <f>CONCATENATE(J40,"/",B41)</f>
        <v>/paymentsResponse/data/payments/paymentId</v>
      </c>
    </row>
    <row r="42" spans="2:10" ht="30">
      <c r="B42" s="20" t="s">
        <v>25</v>
      </c>
      <c r="C42" s="12" t="s">
        <v>26</v>
      </c>
      <c r="D42" s="12" t="s">
        <v>27</v>
      </c>
      <c r="E42" s="13" t="s">
        <v>28</v>
      </c>
      <c r="F42" s="14" t="s">
        <v>17</v>
      </c>
      <c r="G42" s="15" t="s">
        <v>18</v>
      </c>
      <c r="H42" s="16">
        <v>40056</v>
      </c>
      <c r="I42" s="16" t="s">
        <v>26</v>
      </c>
      <c r="J42" s="17" t="str">
        <f>CONCATENATE(J40,"/",B42)</f>
        <v>/paymentsResponse/data/payments/grantId</v>
      </c>
    </row>
    <row r="43" spans="2:10" ht="30">
      <c r="B43" s="20" t="s">
        <v>145</v>
      </c>
      <c r="C43" s="12" t="s">
        <v>146</v>
      </c>
      <c r="D43" s="16" t="s">
        <v>123</v>
      </c>
      <c r="E43" s="13" t="s">
        <v>124</v>
      </c>
      <c r="F43" s="14" t="s">
        <v>17</v>
      </c>
      <c r="G43" s="15" t="s">
        <v>18</v>
      </c>
      <c r="H43" s="16" t="s">
        <v>125</v>
      </c>
      <c r="I43" s="12" t="s">
        <v>146</v>
      </c>
      <c r="J43" s="17" t="str">
        <f>CONCATENATE(J40,"/",B43)</f>
        <v>/paymentsResponse/data/payments/creationDateTime</v>
      </c>
    </row>
    <row r="44" spans="2:10" ht="30">
      <c r="B44" s="20" t="s">
        <v>147</v>
      </c>
      <c r="C44" s="12" t="s">
        <v>148</v>
      </c>
      <c r="D44" s="16" t="s">
        <v>123</v>
      </c>
      <c r="E44" s="13" t="s">
        <v>124</v>
      </c>
      <c r="F44" s="14" t="s">
        <v>17</v>
      </c>
      <c r="G44" s="15" t="s">
        <v>18</v>
      </c>
      <c r="H44" s="16" t="s">
        <v>125</v>
      </c>
      <c r="I44" s="12" t="s">
        <v>148</v>
      </c>
      <c r="J44" s="17" t="str">
        <f>CONCATENATE(J40,"/",B44)</f>
        <v>/paymentsResponse/data/payments/statusUpdateDateTime</v>
      </c>
    </row>
    <row r="45" spans="2:10" ht="30">
      <c r="B45" s="20" t="s">
        <v>149</v>
      </c>
      <c r="C45" s="12" t="s">
        <v>150</v>
      </c>
      <c r="D45" s="16" t="s">
        <v>123</v>
      </c>
      <c r="E45" s="13" t="s">
        <v>124</v>
      </c>
      <c r="F45" s="14" t="s">
        <v>39</v>
      </c>
      <c r="G45" s="15" t="s">
        <v>40</v>
      </c>
      <c r="H45" s="16" t="s">
        <v>125</v>
      </c>
      <c r="I45" s="12" t="s">
        <v>150</v>
      </c>
      <c r="J45" s="17" t="str">
        <f>CONCATENATE(J40,"/",B45)</f>
        <v>/paymentsResponse/data/payments/expectedExecutionDateTime</v>
      </c>
    </row>
    <row r="46" spans="2:10" ht="30">
      <c r="B46" s="20" t="s">
        <v>151</v>
      </c>
      <c r="C46" s="12" t="s">
        <v>152</v>
      </c>
      <c r="D46" s="16" t="s">
        <v>123</v>
      </c>
      <c r="E46" s="13" t="s">
        <v>124</v>
      </c>
      <c r="F46" s="14" t="s">
        <v>39</v>
      </c>
      <c r="G46" s="15" t="s">
        <v>40</v>
      </c>
      <c r="H46" s="16" t="s">
        <v>125</v>
      </c>
      <c r="I46" s="12" t="s">
        <v>152</v>
      </c>
      <c r="J46" s="17" t="str">
        <f>CONCATENATE(J40,"/",B46)</f>
        <v>/paymentsResponse/data/payments/expectedSettlementDateTime</v>
      </c>
    </row>
    <row r="47" spans="2:10">
      <c r="B47" s="20" t="s">
        <v>153</v>
      </c>
      <c r="C47" s="12" t="s">
        <v>154</v>
      </c>
      <c r="D47" s="16" t="s">
        <v>31</v>
      </c>
      <c r="E47" s="13" t="s">
        <v>32</v>
      </c>
      <c r="F47" s="14" t="s">
        <v>17</v>
      </c>
      <c r="G47" s="15" t="s">
        <v>18</v>
      </c>
      <c r="H47" s="16" t="s">
        <v>155</v>
      </c>
      <c r="I47" s="12" t="s">
        <v>154</v>
      </c>
      <c r="J47" s="17" t="str">
        <f>CONCATENATE($J$40,"/",B47)</f>
        <v>/paymentsResponse/data/payments/paymentStatus</v>
      </c>
    </row>
    <row r="48" spans="2:10">
      <c r="B48" s="20" t="s">
        <v>156</v>
      </c>
      <c r="C48" s="12" t="s">
        <v>157</v>
      </c>
      <c r="D48" s="12" t="s">
        <v>15</v>
      </c>
      <c r="E48" s="13" t="s">
        <v>16</v>
      </c>
      <c r="F48" s="14" t="s">
        <v>17</v>
      </c>
      <c r="G48" s="15" t="s">
        <v>18</v>
      </c>
      <c r="H48" s="16" t="s">
        <v>15</v>
      </c>
      <c r="I48" s="12" t="s">
        <v>157</v>
      </c>
      <c r="J48" s="17" t="str">
        <f t="shared" ref="J48" si="1">CONCATENATE($J$40,"/",B48)</f>
        <v>/paymentsResponse/data/payments/statusReason</v>
      </c>
    </row>
    <row r="49" spans="2:10" ht="30">
      <c r="B49" s="26" t="s">
        <v>158</v>
      </c>
      <c r="C49" s="12" t="s">
        <v>159</v>
      </c>
      <c r="D49" s="16" t="s">
        <v>31</v>
      </c>
      <c r="E49" s="13" t="s">
        <v>32</v>
      </c>
      <c r="F49" s="14" t="s">
        <v>17</v>
      </c>
      <c r="G49" s="15" t="s">
        <v>18</v>
      </c>
      <c r="H49" s="16">
        <v>40001</v>
      </c>
      <c r="I49" s="12" t="s">
        <v>159</v>
      </c>
      <c r="J49" s="17" t="str">
        <f>CONCATENATE($J$48,"/",B49)</f>
        <v>/paymentsResponse/data/payments/statusReason/statusReasonCode</v>
      </c>
    </row>
    <row r="50" spans="2:10" ht="30">
      <c r="B50" s="26" t="s">
        <v>160</v>
      </c>
      <c r="C50" s="12" t="s">
        <v>161</v>
      </c>
      <c r="D50" s="16" t="s">
        <v>58</v>
      </c>
      <c r="E50" s="13" t="s">
        <v>32</v>
      </c>
      <c r="F50" s="14" t="s">
        <v>17</v>
      </c>
      <c r="G50" s="15" t="s">
        <v>18</v>
      </c>
      <c r="H50" s="16" t="s">
        <v>162</v>
      </c>
      <c r="I50" s="12" t="s">
        <v>161</v>
      </c>
      <c r="J50" s="17" t="str">
        <f>CONCATENATE($J$48,"/",B50)</f>
        <v>/paymentsResponse/data/payments/statusReason/description</v>
      </c>
    </row>
    <row r="51" spans="2:10" ht="30">
      <c r="B51" s="20" t="s">
        <v>29</v>
      </c>
      <c r="C51" s="12" t="s">
        <v>30</v>
      </c>
      <c r="D51" s="12" t="s">
        <v>31</v>
      </c>
      <c r="E51" s="13" t="s">
        <v>32</v>
      </c>
      <c r="F51" s="14" t="s">
        <v>17</v>
      </c>
      <c r="G51" s="15" t="s">
        <v>18</v>
      </c>
      <c r="H51" s="16" t="s">
        <v>33</v>
      </c>
      <c r="I51" s="16" t="s">
        <v>34</v>
      </c>
      <c r="J51" s="17" t="str">
        <f>CONCATENATE(J40,"/",B51)</f>
        <v>/paymentsResponse/data/payments/transactionType</v>
      </c>
    </row>
    <row r="52" spans="2:10" ht="30">
      <c r="B52" s="21" t="s">
        <v>35</v>
      </c>
      <c r="C52" s="12" t="s">
        <v>36</v>
      </c>
      <c r="D52" s="12" t="s">
        <v>37</v>
      </c>
      <c r="E52" s="13" t="s">
        <v>38</v>
      </c>
      <c r="F52" s="14" t="s">
        <v>39</v>
      </c>
      <c r="G52" s="15" t="s">
        <v>40</v>
      </c>
      <c r="H52" s="16">
        <v>200000</v>
      </c>
      <c r="I52" s="16" t="s">
        <v>41</v>
      </c>
      <c r="J52" s="17" t="str">
        <f>CONCATENATE($J$8,"/",B52)</f>
        <v>/paymentsRequest/data/payments/paymentLimit</v>
      </c>
    </row>
    <row r="53" spans="2:10" ht="30">
      <c r="B53" s="20" t="s">
        <v>42</v>
      </c>
      <c r="C53" s="12" t="s">
        <v>43</v>
      </c>
      <c r="D53" s="12" t="s">
        <v>44</v>
      </c>
      <c r="E53" s="13" t="s">
        <v>32</v>
      </c>
      <c r="F53" s="14" t="s">
        <v>17</v>
      </c>
      <c r="G53" s="15" t="s">
        <v>18</v>
      </c>
      <c r="H53" s="16" t="s">
        <v>45</v>
      </c>
      <c r="I53" s="16" t="s">
        <v>46</v>
      </c>
      <c r="J53" s="17" t="str">
        <f t="shared" ref="J53:J74" si="2">CONCATENATE($J$8,"/",B53)</f>
        <v>/paymentsRequest/data/payments/debtorInstitutionId</v>
      </c>
    </row>
    <row r="54" spans="2:10" ht="30">
      <c r="B54" s="20" t="s">
        <v>47</v>
      </c>
      <c r="C54" s="12" t="s">
        <v>48</v>
      </c>
      <c r="D54" s="12" t="s">
        <v>31</v>
      </c>
      <c r="E54" s="13" t="s">
        <v>32</v>
      </c>
      <c r="F54" s="14" t="s">
        <v>17</v>
      </c>
      <c r="G54" s="15" t="s">
        <v>18</v>
      </c>
      <c r="H54" s="16" t="s">
        <v>49</v>
      </c>
      <c r="I54" s="16" t="s">
        <v>50</v>
      </c>
      <c r="J54" s="17" t="str">
        <f t="shared" si="2"/>
        <v>/paymentsRequest/data/payments/debtorAccountNumber</v>
      </c>
    </row>
    <row r="55" spans="2:10" ht="30">
      <c r="B55" s="20" t="s">
        <v>51</v>
      </c>
      <c r="C55" s="12" t="s">
        <v>52</v>
      </c>
      <c r="D55" s="12" t="s">
        <v>53</v>
      </c>
      <c r="E55" s="13" t="s">
        <v>32</v>
      </c>
      <c r="F55" s="14" t="s">
        <v>17</v>
      </c>
      <c r="G55" s="15" t="s">
        <v>18</v>
      </c>
      <c r="H55" s="16" t="s">
        <v>54</v>
      </c>
      <c r="I55" s="16" t="s">
        <v>55</v>
      </c>
      <c r="J55" s="17" t="str">
        <f t="shared" si="2"/>
        <v>/paymentsRequest/data/payments/debtorAccountType</v>
      </c>
    </row>
    <row r="56" spans="2:10" ht="30">
      <c r="B56" s="20" t="s">
        <v>56</v>
      </c>
      <c r="C56" s="16" t="s">
        <v>57</v>
      </c>
      <c r="D56" s="16" t="s">
        <v>58</v>
      </c>
      <c r="E56" s="13" t="s">
        <v>32</v>
      </c>
      <c r="F56" s="14" t="s">
        <v>17</v>
      </c>
      <c r="G56" s="15" t="s">
        <v>18</v>
      </c>
      <c r="H56" s="16" t="s">
        <v>59</v>
      </c>
      <c r="I56" s="16" t="s">
        <v>60</v>
      </c>
      <c r="J56" s="17" t="str">
        <f t="shared" si="2"/>
        <v>/paymentsRequest/data/payments/debtorName</v>
      </c>
    </row>
    <row r="57" spans="2:10" ht="30">
      <c r="B57" s="20" t="s">
        <v>61</v>
      </c>
      <c r="C57" s="16" t="s">
        <v>62</v>
      </c>
      <c r="D57" s="16" t="s">
        <v>31</v>
      </c>
      <c r="E57" s="13" t="s">
        <v>32</v>
      </c>
      <c r="F57" s="14" t="s">
        <v>17</v>
      </c>
      <c r="G57" s="15" t="s">
        <v>18</v>
      </c>
      <c r="H57" s="16" t="s">
        <v>63</v>
      </c>
      <c r="I57" s="16" t="s">
        <v>64</v>
      </c>
      <c r="J57" s="17" t="str">
        <f t="shared" si="2"/>
        <v>/paymentsRequest/data/payments/debtorIdentification</v>
      </c>
    </row>
    <row r="58" spans="2:10" ht="30">
      <c r="B58" s="20" t="s">
        <v>65</v>
      </c>
      <c r="C58" s="16" t="s">
        <v>66</v>
      </c>
      <c r="D58" s="16" t="s">
        <v>58</v>
      </c>
      <c r="E58" s="13" t="s">
        <v>32</v>
      </c>
      <c r="F58" s="14" t="s">
        <v>39</v>
      </c>
      <c r="G58" s="15" t="s">
        <v>67</v>
      </c>
      <c r="H58" s="16" t="s">
        <v>68</v>
      </c>
      <c r="I58" s="16" t="s">
        <v>69</v>
      </c>
      <c r="J58" s="17" t="str">
        <f t="shared" si="2"/>
        <v>/paymentsRequest/data/payments/debtorAddress</v>
      </c>
    </row>
    <row r="59" spans="2:10" ht="30">
      <c r="B59" s="20" t="s">
        <v>70</v>
      </c>
      <c r="C59" s="16" t="s">
        <v>71</v>
      </c>
      <c r="D59" s="16" t="s">
        <v>72</v>
      </c>
      <c r="E59" s="13" t="s">
        <v>32</v>
      </c>
      <c r="F59" s="14" t="s">
        <v>39</v>
      </c>
      <c r="G59" s="15" t="s">
        <v>67</v>
      </c>
      <c r="H59" s="16" t="s">
        <v>73</v>
      </c>
      <c r="I59" s="16" t="s">
        <v>74</v>
      </c>
      <c r="J59" s="17" t="str">
        <f t="shared" si="2"/>
        <v>/paymentsRequest/data/payments/debtorCountry</v>
      </c>
    </row>
    <row r="60" spans="2:10" ht="30">
      <c r="B60" s="20" t="s">
        <v>75</v>
      </c>
      <c r="C60" s="16" t="s">
        <v>76</v>
      </c>
      <c r="D60" s="16" t="s">
        <v>77</v>
      </c>
      <c r="E60" s="13" t="s">
        <v>32</v>
      </c>
      <c r="F60" s="14" t="s">
        <v>39</v>
      </c>
      <c r="G60" s="15" t="s">
        <v>67</v>
      </c>
      <c r="H60" s="16" t="s">
        <v>78</v>
      </c>
      <c r="I60" s="16" t="s">
        <v>79</v>
      </c>
      <c r="J60" s="17" t="str">
        <f t="shared" si="2"/>
        <v>/paymentsRequest/data/payments/debtorPaymentMethod</v>
      </c>
    </row>
    <row r="61" spans="2:10" ht="30">
      <c r="B61" s="20" t="s">
        <v>80</v>
      </c>
      <c r="C61" s="16" t="s">
        <v>81</v>
      </c>
      <c r="D61" s="16" t="s">
        <v>82</v>
      </c>
      <c r="E61" s="13" t="s">
        <v>32</v>
      </c>
      <c r="F61" s="14" t="s">
        <v>39</v>
      </c>
      <c r="G61" s="15" t="s">
        <v>18</v>
      </c>
      <c r="H61" s="16" t="s">
        <v>83</v>
      </c>
      <c r="I61" s="16" t="s">
        <v>84</v>
      </c>
      <c r="J61" s="17" t="str">
        <f t="shared" si="2"/>
        <v>/paymentsRequest/data/payments/creditorInstitutionId</v>
      </c>
    </row>
    <row r="62" spans="2:10" ht="30">
      <c r="B62" s="20" t="s">
        <v>85</v>
      </c>
      <c r="C62" s="16" t="s">
        <v>86</v>
      </c>
      <c r="D62" s="16" t="s">
        <v>31</v>
      </c>
      <c r="E62" s="13" t="s">
        <v>32</v>
      </c>
      <c r="F62" s="14" t="s">
        <v>17</v>
      </c>
      <c r="G62" s="15" t="s">
        <v>18</v>
      </c>
      <c r="H62" s="16" t="s">
        <v>87</v>
      </c>
      <c r="I62" s="16" t="s">
        <v>88</v>
      </c>
      <c r="J62" s="17" t="str">
        <f t="shared" si="2"/>
        <v>/paymentsRequest/data/payments/creditorAccountNumber</v>
      </c>
    </row>
    <row r="63" spans="2:10" ht="30">
      <c r="B63" s="20" t="s">
        <v>89</v>
      </c>
      <c r="C63" s="16" t="s">
        <v>90</v>
      </c>
      <c r="D63" s="16" t="s">
        <v>53</v>
      </c>
      <c r="E63" s="13" t="s">
        <v>32</v>
      </c>
      <c r="F63" s="14" t="s">
        <v>17</v>
      </c>
      <c r="G63" s="15" t="s">
        <v>18</v>
      </c>
      <c r="H63" s="16" t="s">
        <v>91</v>
      </c>
      <c r="I63" s="16" t="s">
        <v>92</v>
      </c>
      <c r="J63" s="17" t="str">
        <f t="shared" si="2"/>
        <v>/paymentsRequest/data/payments/creditorAccountType</v>
      </c>
    </row>
    <row r="64" spans="2:10" ht="30">
      <c r="B64" s="20" t="s">
        <v>93</v>
      </c>
      <c r="C64" s="16" t="s">
        <v>94</v>
      </c>
      <c r="D64" s="16" t="s">
        <v>58</v>
      </c>
      <c r="E64" s="13" t="s">
        <v>32</v>
      </c>
      <c r="F64" s="14" t="s">
        <v>17</v>
      </c>
      <c r="G64" s="15" t="s">
        <v>18</v>
      </c>
      <c r="H64" s="16" t="s">
        <v>95</v>
      </c>
      <c r="I64" s="16" t="s">
        <v>96</v>
      </c>
      <c r="J64" s="17" t="str">
        <f t="shared" si="2"/>
        <v>/paymentsRequest/data/payments/creditorName</v>
      </c>
    </row>
    <row r="65" spans="2:10" ht="30">
      <c r="B65" s="20" t="s">
        <v>97</v>
      </c>
      <c r="C65" s="16" t="s">
        <v>98</v>
      </c>
      <c r="D65" s="16" t="s">
        <v>31</v>
      </c>
      <c r="E65" s="13" t="s">
        <v>32</v>
      </c>
      <c r="F65" s="14" t="s">
        <v>17</v>
      </c>
      <c r="G65" s="15" t="s">
        <v>18</v>
      </c>
      <c r="H65" s="16" t="s">
        <v>99</v>
      </c>
      <c r="I65" s="16" t="s">
        <v>100</v>
      </c>
      <c r="J65" s="17" t="str">
        <f t="shared" si="2"/>
        <v>/paymentsRequest/data/payments/creditorIdentification</v>
      </c>
    </row>
    <row r="66" spans="2:10" ht="30">
      <c r="B66" s="20" t="s">
        <v>101</v>
      </c>
      <c r="C66" s="16" t="s">
        <v>102</v>
      </c>
      <c r="D66" s="16" t="s">
        <v>58</v>
      </c>
      <c r="E66" s="13" t="s">
        <v>32</v>
      </c>
      <c r="F66" s="14" t="s">
        <v>39</v>
      </c>
      <c r="G66" s="15" t="s">
        <v>67</v>
      </c>
      <c r="H66" s="16" t="s">
        <v>103</v>
      </c>
      <c r="I66" s="16" t="s">
        <v>104</v>
      </c>
      <c r="J66" s="17" t="str">
        <f t="shared" si="2"/>
        <v>/paymentsRequest/data/payments/creditorAddress</v>
      </c>
    </row>
    <row r="67" spans="2:10" ht="30">
      <c r="B67" s="20" t="s">
        <v>105</v>
      </c>
      <c r="C67" s="16" t="s">
        <v>106</v>
      </c>
      <c r="D67" s="16" t="s">
        <v>72</v>
      </c>
      <c r="E67" s="13" t="s">
        <v>32</v>
      </c>
      <c r="F67" s="14" t="s">
        <v>39</v>
      </c>
      <c r="G67" s="15" t="s">
        <v>67</v>
      </c>
      <c r="H67" s="16" t="s">
        <v>107</v>
      </c>
      <c r="I67" s="16" t="s">
        <v>108</v>
      </c>
      <c r="J67" s="17" t="str">
        <f t="shared" si="2"/>
        <v>/paymentsRequest/data/payments/creditorCountry</v>
      </c>
    </row>
    <row r="68" spans="2:10" ht="30">
      <c r="B68" s="20" t="s">
        <v>109</v>
      </c>
      <c r="C68" s="16" t="s">
        <v>110</v>
      </c>
      <c r="D68" s="16" t="s">
        <v>72</v>
      </c>
      <c r="E68" s="13" t="s">
        <v>32</v>
      </c>
      <c r="F68" s="14" t="s">
        <v>39</v>
      </c>
      <c r="G68" s="15" t="s">
        <v>67</v>
      </c>
      <c r="H68" s="16" t="s">
        <v>111</v>
      </c>
      <c r="I68" s="16" t="s">
        <v>112</v>
      </c>
      <c r="J68" s="17" t="str">
        <f t="shared" si="2"/>
        <v>/paymentsRequest/data/payments/originOfFunds</v>
      </c>
    </row>
    <row r="69" spans="2:10" ht="30">
      <c r="B69" s="20" t="s">
        <v>113</v>
      </c>
      <c r="C69" s="16" t="s">
        <v>114</v>
      </c>
      <c r="D69" s="16" t="s">
        <v>37</v>
      </c>
      <c r="E69" s="13" t="s">
        <v>38</v>
      </c>
      <c r="F69" s="14" t="s">
        <v>17</v>
      </c>
      <c r="G69" s="15" t="s">
        <v>18</v>
      </c>
      <c r="H69" s="16">
        <v>150000</v>
      </c>
      <c r="I69" s="16" t="s">
        <v>115</v>
      </c>
      <c r="J69" s="17" t="str">
        <f t="shared" si="2"/>
        <v>/paymentsRequest/data/payments/amount</v>
      </c>
    </row>
    <row r="70" spans="2:10" ht="30">
      <c r="B70" s="20" t="s">
        <v>116</v>
      </c>
      <c r="C70" s="16" t="s">
        <v>117</v>
      </c>
      <c r="D70" s="16" t="s">
        <v>118</v>
      </c>
      <c r="E70" s="13" t="s">
        <v>32</v>
      </c>
      <c r="F70" s="14" t="s">
        <v>17</v>
      </c>
      <c r="G70" s="15" t="s">
        <v>18</v>
      </c>
      <c r="H70" s="16" t="s">
        <v>119</v>
      </c>
      <c r="I70" s="16" t="s">
        <v>120</v>
      </c>
      <c r="J70" s="17" t="str">
        <f t="shared" si="2"/>
        <v>/paymentsRequest/data/payments/currency</v>
      </c>
    </row>
    <row r="71" spans="2:10" ht="30">
      <c r="B71" s="20" t="s">
        <v>121</v>
      </c>
      <c r="C71" s="16" t="s">
        <v>122</v>
      </c>
      <c r="D71" s="16" t="s">
        <v>123</v>
      </c>
      <c r="E71" s="13" t="s">
        <v>124</v>
      </c>
      <c r="F71" s="14" t="s">
        <v>17</v>
      </c>
      <c r="G71" s="15" t="s">
        <v>18</v>
      </c>
      <c r="H71" s="16" t="s">
        <v>125</v>
      </c>
      <c r="I71" s="16" t="s">
        <v>126</v>
      </c>
      <c r="J71" s="17" t="str">
        <f t="shared" si="2"/>
        <v>/paymentsRequest/data/payments/requestDateTime</v>
      </c>
    </row>
    <row r="72" spans="2:10" ht="30">
      <c r="B72" s="20" t="s">
        <v>127</v>
      </c>
      <c r="C72" s="16" t="s">
        <v>128</v>
      </c>
      <c r="D72" s="16" t="s">
        <v>129</v>
      </c>
      <c r="E72" s="13" t="s">
        <v>32</v>
      </c>
      <c r="F72" s="14" t="s">
        <v>39</v>
      </c>
      <c r="G72" s="15" t="s">
        <v>40</v>
      </c>
      <c r="H72" s="16" t="s">
        <v>130</v>
      </c>
      <c r="I72" s="16" t="s">
        <v>131</v>
      </c>
      <c r="J72" s="17" t="str">
        <f t="shared" si="2"/>
        <v>/paymentsRequest/data/payments/suspiciousFlag</v>
      </c>
    </row>
    <row r="73" spans="2:10" ht="30">
      <c r="B73" s="21" t="s">
        <v>132</v>
      </c>
      <c r="C73" s="22" t="s">
        <v>133</v>
      </c>
      <c r="D73" s="22" t="s">
        <v>134</v>
      </c>
      <c r="E73" s="23"/>
      <c r="F73" s="24" t="s">
        <v>39</v>
      </c>
      <c r="G73" s="25" t="s">
        <v>40</v>
      </c>
      <c r="H73" s="22"/>
      <c r="I73" s="16"/>
      <c r="J73" s="17" t="str">
        <f t="shared" si="2"/>
        <v>/paymentsRequest/data/payments/fraudAnalysisData</v>
      </c>
    </row>
    <row r="74" spans="2:10" ht="30">
      <c r="B74" s="20" t="s">
        <v>135</v>
      </c>
      <c r="C74" s="16" t="s">
        <v>136</v>
      </c>
      <c r="D74" s="16" t="s">
        <v>58</v>
      </c>
      <c r="E74" s="13" t="s">
        <v>32</v>
      </c>
      <c r="F74" s="14" t="s">
        <v>39</v>
      </c>
      <c r="G74" s="15" t="s">
        <v>40</v>
      </c>
      <c r="H74" s="16" t="s">
        <v>137</v>
      </c>
      <c r="I74" s="16" t="s">
        <v>138</v>
      </c>
      <c r="J74" s="17" t="str">
        <f t="shared" si="2"/>
        <v>/paymentsRequest/data/payments/purpose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2025-06-13T12:04:43Z</dcterms:created>
  <dcterms:modified xsi:type="dcterms:W3CDTF">2025-06-13T12:06:00Z</dcterms:modified>
</cp:coreProperties>
</file>