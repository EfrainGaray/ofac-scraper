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9. Servicios de Operación de tarjetas de pago/01. Payment-Reports/"/>
    </mc:Choice>
  </mc:AlternateContent>
  <xr:revisionPtr revIDLastSave="2" documentId="8_{5DAEACF2-0438-4AE2-9486-185A7D62921B}" xr6:coauthVersionLast="47" xr6:coauthVersionMax="47" xr10:uidLastSave="{FE4B1374-CF03-4748-853A-1ABCBA8875F3}"/>
  <bookViews>
    <workbookView xWindow="14370" yWindow="240" windowWidth="23895" windowHeight="15105" xr2:uid="{7BF5BC5D-E62D-43C0-820A-721525F422AF}"/>
  </bookViews>
  <sheets>
    <sheet name="payment-repo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 s="1"/>
  <c r="J26" i="1" l="1"/>
  <c r="J18" i="1"/>
  <c r="J20" i="1"/>
  <c r="J23" i="1"/>
  <c r="J21" i="1"/>
  <c r="J22" i="1"/>
  <c r="J19" i="1"/>
  <c r="J25" i="1" l="1"/>
  <c r="J24" i="1"/>
</calcChain>
</file>

<file path=xl/sharedStrings.xml><?xml version="1.0" encoding="utf-8"?>
<sst xmlns="http://schemas.openxmlformats.org/spreadsheetml/2006/main" count="155" uniqueCount="94">
  <si>
    <t>API:</t>
  </si>
  <si>
    <t>Recurso: GET</t>
  </si>
  <si>
    <t>/payment-reports/v1/payment-reports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</si>
  <si>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</si>
  <si>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</si>
  <si>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</si>
  <si>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</si>
  <si>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</si>
  <si>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</si>
  <si>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</si>
  <si>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</si>
  <si>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</si>
  <si>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</si>
  <si>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</si>
  <si>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</si>
  <si>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</si>
  <si>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</si>
  <si>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</si>
  <si>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</si>
  <si>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</si>
  <si>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</si>
  <si>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</si>
  <si>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</si>
  <si>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</si>
  <si>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fromDate</t>
  </si>
  <si>
    <t>Fecha de inicio del rango (año y mes)</t>
  </si>
  <si>
    <t>ISODate</t>
  </si>
  <si>
    <t>string (date)</t>
  </si>
  <si>
    <t>"2025-01"</t>
  </si>
  <si>
    <t>Filtra transacciones desde esta fecha (histórico).</t>
  </si>
  <si>
    <t>toDate</t>
  </si>
  <si>
    <t>Fecha de fin del rango (año y mes)</t>
  </si>
  <si>
    <t>"2025-02"</t>
  </si>
  <si>
    <t>Filtra transacciones hasta esta fecha.</t>
  </si>
  <si>
    <t>brand</t>
  </si>
  <si>
    <t>Marca de la tarjeta</t>
  </si>
  <si>
    <t>CardBrandCode</t>
  </si>
  <si>
    <t>string</t>
  </si>
  <si>
    <t>"VISA"</t>
  </si>
  <si>
    <t>Filtra las transacciones por la marca de la tarjeta</t>
  </si>
  <si>
    <t>Response:</t>
  </si>
  <si>
    <t>Path</t>
  </si>
  <si>
    <t>paymentReportsResponse</t>
  </si>
  <si>
    <t>Objeto principal</t>
  </si>
  <si>
    <t>-</t>
  </si>
  <si>
    <t>object</t>
  </si>
  <si>
    <t>[1..1]</t>
  </si>
  <si>
    <t>Sí</t>
  </si>
  <si>
    <t>Response: Raíz de la respuesta que contiene los datos del reporte.</t>
  </si>
  <si>
    <t>/paymentReportsResponse</t>
  </si>
  <si>
    <t>data</t>
  </si>
  <si>
    <t>objeto data</t>
  </si>
  <si>
    <t>payment</t>
  </si>
  <si>
    <t>objeto pago</t>
  </si>
  <si>
    <t>[1..*]</t>
  </si>
  <si>
    <t>reportMonth</t>
  </si>
  <si>
    <t>Fecha (mes) del reporte</t>
  </si>
  <si>
    <t>ReportMonthCode (p.ej.)</t>
  </si>
  <si>
    <t>Se puede representar como “YYYY-MM” para indicar el año y el mes.</t>
  </si>
  <si>
    <t>rutClient</t>
  </si>
  <si>
    <t>RUT del cliente</t>
  </si>
  <si>
    <t>RUTType</t>
  </si>
  <si>
    <t>"11111111-1"</t>
  </si>
  <si>
    <t>Identificador del cliente final.</t>
  </si>
  <si>
    <t>financialProductType</t>
  </si>
  <si>
    <t>Tipo de producto financiero</t>
  </si>
  <si>
    <t>FinancialProductTypeCode</t>
  </si>
  <si>
    <t>"PAYMENT_CARD"</t>
  </si>
  <si>
    <t>Ej. “PAYMENT_CARD”, “LOAN”, “INSURANCE”, etc.</t>
  </si>
  <si>
    <t>commercialCategory</t>
  </si>
  <si>
    <t>Categoría comercial</t>
  </si>
  <si>
    <t>Max70Text</t>
  </si>
  <si>
    <t>"PREPAGO"</t>
  </si>
  <si>
    <t>Describe la categoría: p.ej. “DEBITO”, “PREPAGO”, “HIPOTECARIO”, etc.</t>
  </si>
  <si>
    <t>Max40Text</t>
  </si>
  <si>
    <t>Describe la marca de la tarjeta "VISA", "MASTERCARD", etc.</t>
  </si>
  <si>
    <t>monthlyTransactions</t>
  </si>
  <si>
    <t>Montos pagados mensualmente (consolidado)</t>
  </si>
  <si>
    <t>MonthlyStatsType</t>
  </si>
  <si>
    <t>Contiene la cantidad de transacciones y el valor total en el mes.</t>
  </si>
  <si>
    <t>count</t>
  </si>
  <si>
    <t>Cantidad de transacciones</t>
  </si>
  <si>
    <t>Max9NumericText</t>
  </si>
  <si>
    <t>Número total de transacciones realizadas en el mes.</t>
  </si>
  <si>
    <t>amount</t>
  </si>
  <si>
    <t>Valor total de transacciones</t>
  </si>
  <si>
    <t>Amount</t>
  </si>
  <si>
    <t>number</t>
  </si>
  <si>
    <t>Suma de los montos involucrados en las transacciones del mes.</t>
  </si>
  <si>
    <t>affiliationContractActive</t>
  </si>
  <si>
    <t>Vigencia de un contrato de afiliación</t>
  </si>
  <si>
    <t>YesNoIndicator</t>
  </si>
  <si>
    <t>"SI"</t>
  </si>
  <si>
    <t>Indica si el contrato de afiliación está vigente: “SI” o “NO”.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</si>
</sst>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4"/>
    </xf>
    <xf numFmtId="0" fontId="0" fillId="0" borderId="0" xfId="0" applyAlignment="1">
      <alignment vertical="center" wrapText="1"/>
    </xf>
  </cellXfs>
  <cellStyles count="3">
    <cellStyle name="Fecha" xfId="2" xr:uid="{0CE541E2-528D-4DAA-9686-0C70B033BA88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589543</xdr:colOff>
      <xdr:row>0</xdr:row>
      <xdr:rowOff>817319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34CE82E0-65E5-4615-901C-A0AB8A16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721" y="44824"/>
          <a:ext cx="1894296" cy="772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2383191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A196C9-3DFB-4E9E-B69D-48E4E9950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319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321D-E3EF-4C52-8915-13B92C47502D}">
  <dimension ref="B1:L30"/>
  <sheetViews>
    <sheetView showGridLines="0" tabSelected="1" zoomScale="85" zoomScaleNormal="85" workbookViewId="0">
      <selection activeCell="E28" sqref="E28"/>
    </sheetView>
  </sheetViews>
  <sheetFormatPr baseColWidth="10" defaultColWidth="11.28515625" defaultRowHeight="15"/>
  <cols>
    <col min="1" max="1" width="6.85546875" customWidth="1"/>
    <col min="2" max="2" width="38.28515625" customWidth="1"/>
    <col min="3" max="3" width="24" bestFit="1" customWidth="1"/>
    <col min="4" max="4" width="23.140625" customWidth="1"/>
    <col min="5" max="5" width="19.7109375" bestFit="1" customWidth="1"/>
    <col min="6" max="6" width="15.42578125" style="2" customWidth="1"/>
    <col min="7" max="7" width="13.85546875" style="2" customWidth="1"/>
    <col min="8" max="8" width="19.5703125" bestFit="1" customWidth="1"/>
    <col min="9" max="9" width="58.42578125" bestFit="1" customWidth="1"/>
    <col min="10" max="10" width="66.855468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5"/>
      <c r="H2" s="4"/>
    </row>
    <row r="3" spans="2:10" ht="27" customHeight="1"/>
    <row r="4" spans="2:10" ht="21">
      <c r="B4" s="3" t="s">
        <v>3</v>
      </c>
    </row>
    <row r="5" spans="2:10">
      <c r="B5" s="6" t="s">
        <v>4</v>
      </c>
      <c r="C5" s="7" t="s">
        <v>5</v>
      </c>
      <c r="D5" s="7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spans="2:10">
      <c r="B6" s="8" t="s">
        <v>13</v>
      </c>
      <c r="C6" s="9" t="s">
        <v>14</v>
      </c>
      <c r="D6" s="9" t="s">
        <v>15</v>
      </c>
      <c r="E6" s="9" t="s">
        <v>16</v>
      </c>
      <c r="F6" s="10" t="s">
        <v>17</v>
      </c>
      <c r="G6" s="11" t="s">
        <v>18</v>
      </c>
      <c r="H6" s="11" t="s">
        <v>19</v>
      </c>
      <c r="I6" s="12">
        <v>1</v>
      </c>
      <c r="J6" s="13" t="s">
        <v>20</v>
      </c>
    </row>
    <row r="7" spans="2:10">
      <c r="B7" s="8" t="s">
        <v>21</v>
      </c>
      <c r="C7" s="9" t="s">
        <v>22</v>
      </c>
      <c r="D7" s="9" t="s">
        <v>15</v>
      </c>
      <c r="E7" s="9" t="s">
        <v>16</v>
      </c>
      <c r="F7" s="10" t="s">
        <v>17</v>
      </c>
      <c r="G7" s="11" t="s">
        <v>18</v>
      </c>
      <c r="H7" s="11" t="s">
        <v>19</v>
      </c>
      <c r="I7" s="12">
        <v>20</v>
      </c>
      <c r="J7" s="13" t="s">
        <v>23</v>
      </c>
    </row>
    <row r="8" spans="2:10" ht="30">
      <c r="B8" s="8" t="s">
        <v>24</v>
      </c>
      <c r="C8" s="13" t="s">
        <v>25</v>
      </c>
      <c r="D8" s="9" t="s">
        <v>15</v>
      </c>
      <c r="E8" s="9" t="s">
        <v>26</v>
      </c>
      <c r="F8" s="10" t="s">
        <v>27</v>
      </c>
      <c r="G8" s="10" t="s">
        <v>18</v>
      </c>
      <c r="H8" s="10" t="s">
        <v>19</v>
      </c>
      <c r="I8" s="14" t="s">
        <v>28</v>
      </c>
      <c r="J8" s="14" t="s">
        <v>29</v>
      </c>
    </row>
    <row r="9" spans="2:10" ht="30">
      <c r="B9" s="8" t="s">
        <v>30</v>
      </c>
      <c r="C9" s="13" t="s">
        <v>31</v>
      </c>
      <c r="D9" s="9" t="s">
        <v>15</v>
      </c>
      <c r="E9" s="9" t="s">
        <v>26</v>
      </c>
      <c r="F9" s="10" t="s">
        <v>27</v>
      </c>
      <c r="G9" s="10" t="s">
        <v>18</v>
      </c>
      <c r="H9" s="10" t="s">
        <v>19</v>
      </c>
      <c r="I9" s="14" t="s">
        <v>32</v>
      </c>
      <c r="J9" s="14" t="s">
        <v>33</v>
      </c>
    </row>
    <row r="10" spans="2:10">
      <c r="B10" s="8" t="s">
        <v>34</v>
      </c>
      <c r="C10" s="9" t="s">
        <v>35</v>
      </c>
      <c r="D10" s="9" t="s">
        <v>15</v>
      </c>
      <c r="E10" s="9" t="s">
        <v>36</v>
      </c>
      <c r="F10" s="10" t="s">
        <v>37</v>
      </c>
      <c r="G10" s="10" t="s">
        <v>18</v>
      </c>
      <c r="H10" s="10" t="s">
        <v>19</v>
      </c>
      <c r="I10" s="12" t="s">
        <v>38</v>
      </c>
      <c r="J10" s="13" t="s">
        <v>39</v>
      </c>
    </row>
    <row r="12" spans="2:10" ht="21">
      <c r="B12" s="3" t="s">
        <v>40</v>
      </c>
    </row>
    <row r="13" spans="2:10" ht="21" customHeight="1">
      <c r="B13" s="3"/>
    </row>
    <row r="14" spans="2:10">
      <c r="B14" s="6" t="s">
        <v>4</v>
      </c>
      <c r="C14" s="7" t="s">
        <v>5</v>
      </c>
      <c r="D14" s="6" t="s">
        <v>7</v>
      </c>
      <c r="E14" s="6" t="s">
        <v>8</v>
      </c>
      <c r="F14" s="6" t="s">
        <v>9</v>
      </c>
      <c r="G14" s="6" t="s">
        <v>10</v>
      </c>
      <c r="H14" s="6" t="s">
        <v>11</v>
      </c>
      <c r="I14" s="6" t="s">
        <v>12</v>
      </c>
      <c r="J14" s="7" t="s">
        <v>41</v>
      </c>
    </row>
    <row r="15" spans="2:10">
      <c r="B15" s="8" t="s">
        <v>42</v>
      </c>
      <c r="C15" s="13" t="s">
        <v>43</v>
      </c>
      <c r="D15" s="13" t="s">
        <v>44</v>
      </c>
      <c r="E15" s="13" t="s">
        <v>45</v>
      </c>
      <c r="F15" s="11" t="s">
        <v>46</v>
      </c>
      <c r="G15" s="11" t="s">
        <v>47</v>
      </c>
      <c r="H15" s="9"/>
      <c r="I15" s="9" t="s">
        <v>48</v>
      </c>
      <c r="J15" s="13" t="s">
        <v>49</v>
      </c>
    </row>
    <row r="16" spans="2:10">
      <c r="B16" s="15" t="s">
        <v>50</v>
      </c>
      <c r="C16" s="13" t="s">
        <v>51</v>
      </c>
      <c r="D16" s="13" t="s">
        <v>44</v>
      </c>
      <c r="E16" s="13" t="s">
        <v>45</v>
      </c>
      <c r="F16" s="11" t="s">
        <v>46</v>
      </c>
      <c r="G16" s="11" t="s">
        <v>47</v>
      </c>
      <c r="H16" s="9"/>
      <c r="I16" s="9"/>
      <c r="J16" s="14" t="str">
        <f>CONCATENATE($J$15,"/","data/")</f>
        <v>/paymentReportsResponse/data/</v>
      </c>
    </row>
    <row r="17" spans="2:10">
      <c r="B17" s="16" t="s">
        <v>52</v>
      </c>
      <c r="C17" s="13" t="s">
        <v>53</v>
      </c>
      <c r="D17" s="13" t="s">
        <v>44</v>
      </c>
      <c r="E17" s="13" t="s">
        <v>45</v>
      </c>
      <c r="F17" s="11" t="s">
        <v>54</v>
      </c>
      <c r="G17" s="11" t="s">
        <v>47</v>
      </c>
      <c r="H17" s="9"/>
      <c r="I17" s="9"/>
      <c r="J17" s="14" t="str">
        <f>CONCATENATE(J16,B17)</f>
        <v>/paymentReportsResponse/data/payment</v>
      </c>
    </row>
    <row r="18" spans="2:10" ht="25.5">
      <c r="B18" s="17" t="s">
        <v>55</v>
      </c>
      <c r="C18" s="13" t="s">
        <v>56</v>
      </c>
      <c r="D18" s="13" t="s">
        <v>57</v>
      </c>
      <c r="E18" s="13" t="s">
        <v>37</v>
      </c>
      <c r="F18" s="11" t="s">
        <v>46</v>
      </c>
      <c r="G18" s="11" t="s">
        <v>47</v>
      </c>
      <c r="H18" s="9" t="s">
        <v>32</v>
      </c>
      <c r="I18" s="9" t="s">
        <v>58</v>
      </c>
      <c r="J18" s="14" t="str">
        <f t="shared" ref="J18:J23" si="0">CONCATENATE($J$17,"/",B18)</f>
        <v>/paymentReportsResponse/data/payment/reportMonth</v>
      </c>
    </row>
    <row r="19" spans="2:10">
      <c r="B19" s="17" t="s">
        <v>59</v>
      </c>
      <c r="C19" s="14" t="s">
        <v>60</v>
      </c>
      <c r="D19" s="14" t="s">
        <v>61</v>
      </c>
      <c r="E19" s="14" t="s">
        <v>37</v>
      </c>
      <c r="F19" s="11" t="s">
        <v>46</v>
      </c>
      <c r="G19" s="11" t="s">
        <v>47</v>
      </c>
      <c r="H19" s="12" t="s">
        <v>62</v>
      </c>
      <c r="I19" s="12" t="s">
        <v>63</v>
      </c>
      <c r="J19" s="14" t="str">
        <f t="shared" si="0"/>
        <v>/paymentReportsResponse/data/payment/rutClient</v>
      </c>
    </row>
    <row r="20" spans="2:10" ht="30">
      <c r="B20" s="17" t="s">
        <v>64</v>
      </c>
      <c r="C20" s="14" t="s">
        <v>65</v>
      </c>
      <c r="D20" s="14" t="s">
        <v>66</v>
      </c>
      <c r="E20" s="14" t="s">
        <v>37</v>
      </c>
      <c r="F20" s="11" t="s">
        <v>46</v>
      </c>
      <c r="G20" s="11" t="s">
        <v>47</v>
      </c>
      <c r="H20" s="12" t="s">
        <v>67</v>
      </c>
      <c r="I20" s="12" t="s">
        <v>68</v>
      </c>
      <c r="J20" s="14" t="str">
        <f t="shared" si="0"/>
        <v>/paymentReportsResponse/data/payment/financialProductType</v>
      </c>
    </row>
    <row r="21" spans="2:10" ht="25.5">
      <c r="B21" s="17" t="s">
        <v>69</v>
      </c>
      <c r="C21" s="14" t="s">
        <v>70</v>
      </c>
      <c r="D21" s="14" t="s">
        <v>71</v>
      </c>
      <c r="E21" s="14" t="s">
        <v>37</v>
      </c>
      <c r="F21" s="11" t="s">
        <v>46</v>
      </c>
      <c r="G21" s="11" t="s">
        <v>47</v>
      </c>
      <c r="H21" s="19" t="s">
        <v>72</v>
      </c>
      <c r="I21" s="12" t="s">
        <v>73</v>
      </c>
      <c r="J21" s="14" t="str">
        <f t="shared" si="0"/>
        <v>/paymentReportsResponse/data/payment/commercialCategory</v>
      </c>
    </row>
    <row r="22" spans="2:10">
      <c r="B22" s="17" t="s">
        <v>34</v>
      </c>
      <c r="C22" s="14" t="s">
        <v>35</v>
      </c>
      <c r="D22" s="14" t="s">
        <v>74</v>
      </c>
      <c r="E22" s="14" t="s">
        <v>37</v>
      </c>
      <c r="F22" s="11" t="s">
        <v>46</v>
      </c>
      <c r="G22" s="11" t="s">
        <v>47</v>
      </c>
      <c r="H22" s="19" t="s">
        <v>38</v>
      </c>
      <c r="I22" s="12" t="s">
        <v>75</v>
      </c>
      <c r="J22" s="14" t="str">
        <f t="shared" si="0"/>
        <v>/paymentReportsResponse/data/payment/brand</v>
      </c>
    </row>
    <row r="23" spans="2:10" ht="45">
      <c r="B23" s="17" t="s">
        <v>76</v>
      </c>
      <c r="C23" s="14" t="s">
        <v>77</v>
      </c>
      <c r="D23" s="14" t="s">
        <v>78</v>
      </c>
      <c r="E23" s="14" t="s">
        <v>45</v>
      </c>
      <c r="F23" s="11" t="s">
        <v>46</v>
      </c>
      <c r="G23" s="11" t="s">
        <v>47</v>
      </c>
      <c r="H23" s="19"/>
      <c r="I23" s="12" t="s">
        <v>79</v>
      </c>
      <c r="J23" s="14" t="str">
        <f t="shared" si="0"/>
        <v>/paymentReportsResponse/data/payment/monthlyTransactions</v>
      </c>
    </row>
    <row r="24" spans="2:10" ht="26.25" customHeight="1">
      <c r="B24" s="20" t="s">
        <v>80</v>
      </c>
      <c r="C24" s="14" t="s">
        <v>81</v>
      </c>
      <c r="D24" s="14" t="s">
        <v>82</v>
      </c>
      <c r="E24" s="14" t="s">
        <v>17</v>
      </c>
      <c r="F24" s="11" t="s">
        <v>46</v>
      </c>
      <c r="G24" s="11" t="s">
        <v>47</v>
      </c>
      <c r="H24" s="12">
        <v>25</v>
      </c>
      <c r="I24" s="12" t="s">
        <v>83</v>
      </c>
      <c r="J24" s="14" t="str">
        <f>CONCATENATE($J$23,"/",B24)</f>
        <v>/paymentReportsResponse/data/payment/monthlyTransactions/count</v>
      </c>
    </row>
    <row r="25" spans="2:10" ht="26.25" customHeight="1">
      <c r="B25" s="20" t="s">
        <v>84</v>
      </c>
      <c r="C25" s="14" t="s">
        <v>85</v>
      </c>
      <c r="D25" s="14" t="s">
        <v>86</v>
      </c>
      <c r="E25" s="14" t="s">
        <v>87</v>
      </c>
      <c r="F25" s="11" t="s">
        <v>46</v>
      </c>
      <c r="G25" s="11" t="s">
        <v>47</v>
      </c>
      <c r="H25" s="12">
        <v>1500000</v>
      </c>
      <c r="I25" s="12" t="s">
        <v>88</v>
      </c>
      <c r="J25" s="14" t="str">
        <f>CONCATENATE($J$23,"/",B25)</f>
        <v>/paymentReportsResponse/data/payment/monthlyTransactions/amount</v>
      </c>
    </row>
    <row r="26" spans="2:10" ht="30">
      <c r="B26" s="17" t="s">
        <v>89</v>
      </c>
      <c r="C26" s="14" t="s">
        <v>90</v>
      </c>
      <c r="D26" s="14" t="s">
        <v>91</v>
      </c>
      <c r="E26" s="14" t="s">
        <v>37</v>
      </c>
      <c r="F26" s="11" t="s">
        <v>46</v>
      </c>
      <c r="G26" s="11" t="s">
        <v>47</v>
      </c>
      <c r="H26" s="12" t="s">
        <v>92</v>
      </c>
      <c r="I26" s="12" t="s">
        <v>93</v>
      </c>
      <c r="J26" s="14" t="str">
        <f>CONCATENATE($J$17,"/",B26)</f>
        <v>/paymentReportsResponse/data/payment/affiliationContractActive</v>
      </c>
    </row>
    <row r="27" spans="2:10">
      <c r="B27" s="17"/>
      <c r="C27" s="18"/>
      <c r="D27" s="18"/>
      <c r="E27" s="18"/>
      <c r="F27" s="11"/>
      <c r="G27" s="10"/>
      <c r="H27" s="12"/>
      <c r="I27" s="14"/>
      <c r="J27" s="14"/>
    </row>
    <row r="28" spans="2:10">
      <c r="B28" s="17"/>
      <c r="C28" s="14"/>
      <c r="D28" s="18"/>
      <c r="E28" s="18"/>
      <c r="F28" s="11"/>
      <c r="G28" s="10"/>
      <c r="H28" s="12"/>
      <c r="I28" s="14"/>
      <c r="J28" s="14"/>
    </row>
    <row r="29" spans="2:10">
      <c r="B29" s="17"/>
      <c r="C29" s="14"/>
      <c r="D29" s="18"/>
      <c r="E29" s="18"/>
      <c r="F29" s="11"/>
      <c r="G29" s="10"/>
      <c r="H29" s="12"/>
      <c r="I29" s="14"/>
      <c r="J29" s="14"/>
    </row>
    <row r="30" spans="2:10">
      <c r="B30" s="21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payment-reports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2025-06-13T12:09:13Z</dcterms:created>
  <dcterms:modified xsi:type="dcterms:W3CDTF">2025-06-13T12:11:31Z</dcterms:modified>
</cp:coreProperties>
</file>