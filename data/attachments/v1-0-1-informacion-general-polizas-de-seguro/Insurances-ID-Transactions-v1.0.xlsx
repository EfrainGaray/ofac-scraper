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1. Polizas de Seguro/03 Transactions/"/>
    </mc:Choice>
  </mc:AlternateContent>
  <xr:revisionPtr revIDLastSave="0" documentId="8_{A82DF049-7DBE-4756-A7EF-F032C1429B31}" xr6:coauthVersionLast="47" xr6:coauthVersionMax="47" xr10:uidLastSave="{00000000-0000-0000-0000-000000000000}"/>
  <bookViews>
    <workbookView xWindow="3510" yWindow="1095" windowWidth="23895" windowHeight="15105" xr2:uid="{A4D13DDF-65F2-47BC-BADD-DFE0E1660383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 s="1"/>
  <c r="J14" i="1" s="1"/>
  <c r="J30" i="1" l="1"/>
  <c r="J18" i="1"/>
  <c r="J29" i="1"/>
  <c r="J17" i="1"/>
  <c r="J16" i="1"/>
  <c r="J25" i="1"/>
  <c r="J21" i="1"/>
  <c r="J20" i="1"/>
  <c r="J15" i="1"/>
  <c r="J19" i="1"/>
  <c r="J24" i="1" l="1"/>
  <c r="J23" i="1"/>
  <c r="J22" i="1"/>
  <c r="J28" i="1"/>
  <c r="J27" i="1"/>
  <c r="J26" i="1"/>
</calcChain>
</file>

<file path=xl/sharedStrings.xml><?xml version="1.0" encoding="utf-8"?>
<sst xmlns="http://schemas.openxmlformats.org/spreadsheetml/2006/main" count="175" uniqueCount="108">
  <si>
    <t>API:</t>
  </si>
  <si>
    <t>Recurso: GET</t>
  </si>
  <si>
    <t>/insurances/v1/{insurance-id}/transactions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</si>
  <si>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</si>
  <si>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</si>
  <si>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</si>
  <si>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</si>
  <si>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</si>
  <si>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</si>
  <si>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</si>
  <si>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</si>
  <si>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</si>
  <si>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</si>
  <si>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</si>
  <si>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</si>
  <si>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</si>
  <si>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</si>
  <si>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</si>
  <si>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</si>
  <si>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</si>
  <si>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</si>
  <si>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</si>
  <si>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</si>
  <si>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</si>
  <si>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</si>
  <si>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Name</t>
  </si>
  <si>
    <t>Glosa Field Name</t>
  </si>
  <si>
    <t>Path</t>
  </si>
  <si>
    <t>insuranceTransactionsResponse</t>
  </si>
  <si>
    <t>data</t>
  </si>
  <si>
    <t>Objeto principal</t>
  </si>
  <si>
    <t>-</t>
  </si>
  <si>
    <t>object</t>
  </si>
  <si>
    <t>[1..1]</t>
  </si>
  <si>
    <t>Sí</t>
  </si>
  <si>
    <t>Response: Contenedor raíz para los datos devueltos por GET /insurances/{insurance-id}/transactions.</t>
  </si>
  <si>
    <t>transactions</t>
  </si>
  <si>
    <t>Lista de transacciones (movimientos)</t>
  </si>
  <si>
    <t>Array&lt;InsuranceTx&gt;</t>
  </si>
  <si>
    <t>array&lt;object&gt;</t>
  </si>
  <si>
    <t>[0..*]</t>
  </si>
  <si>
    <t>Cada elemento describe un evento: endoso, actualización de cobertura, modificación de cuota, etc.</t>
  </si>
  <si>
    <t>transactionId</t>
  </si>
  <si>
    <t>Identificador de la transacción</t>
  </si>
  <si>
    <t>Max40Text</t>
  </si>
  <si>
    <t>string</t>
  </si>
  <si>
    <t>"TXN12345"</t>
  </si>
  <si>
    <t>ID único del movimiento.</t>
  </si>
  <si>
    <t>transactionDate</t>
  </si>
  <si>
    <t>Fecha/hora de la transacción</t>
  </si>
  <si>
    <t>ISODateTime</t>
  </si>
  <si>
    <t>string (date-time)</t>
  </si>
  <si>
    <t>"2025-02-10T10:00:00Z"</t>
  </si>
  <si>
    <t>Momento en que se registra o efectúa el movimiento.</t>
  </si>
  <si>
    <t>transactionType</t>
  </si>
  <si>
    <t>Tipo de la transacción</t>
  </si>
  <si>
    <t>InsuranceTxTypeCode</t>
  </si>
  <si>
    <t>"ENDOSO"</t>
  </si>
  <si>
    <t>Por ej.: “ENDOSO” (endoso), “COVERAGE_UPDATE” (actualizar cobertura), “PREMIUM_MODIFICATION” (modif. de prima), etc. (puedes ampliar).</t>
  </si>
  <si>
    <t>description</t>
  </si>
  <si>
    <t>Descripción del movimiento</t>
  </si>
  <si>
    <t>Max256Text</t>
  </si>
  <si>
    <t>"Endoso para ampliar cobertura"</t>
  </si>
  <si>
    <t>Narrativa breve que explique la transacción.</t>
  </si>
  <si>
    <t>amount</t>
  </si>
  <si>
    <t>Monto asociado a la transacción</t>
  </si>
  <si>
    <t>Amount</t>
  </si>
  <si>
    <t>number</t>
  </si>
  <si>
    <t>Ej. valor de recargo o devolución. Depende del tipo de transacción (p.ej., un endoso que aumenta la prima).</t>
  </si>
  <si>
    <t>currency</t>
  </si>
  <si>
    <t>Moneda del monto asociado</t>
  </si>
  <si>
    <t>ISO4217CurrencyCode</t>
  </si>
  <si>
    <t>"CLP"</t>
  </si>
  <si>
    <t>Moneda en la que se expresa amount.</t>
  </si>
  <si>
    <t>coverageBefore</t>
  </si>
  <si>
    <t>Cobertura antes de la transacción</t>
  </si>
  <si>
    <t>CoverageItem (object)</t>
  </si>
  <si>
    <t>Detail: Si la transacción modificó la cobertura (p.ej. endoso), describe la situación previa.</t>
  </si>
  <si>
    <t>coverageType</t>
  </si>
  <si>
    <t>Tipo de cobertura anterior</t>
  </si>
  <si>
    <t>Max70Text</t>
  </si>
  <si>
    <t>[1..1] (Detail)</t>
  </si>
  <si>
    <t>Sí (Detail)</t>
  </si>
  <si>
    <t>"Vida"</t>
  </si>
  <si>
    <t>Especifica la clase de cobertura previa.</t>
  </si>
  <si>
    <t>insuredAmount</t>
  </si>
  <si>
    <t>Monto asegurado anterior</t>
  </si>
  <si>
    <t>Capital o suma asegurada antes del movimiento.</t>
  </si>
  <si>
    <t>insuredCurrency</t>
  </si>
  <si>
    <t>Moneda anterior</t>
  </si>
  <si>
    <t>Moneda de la cobertura previa.</t>
  </si>
  <si>
    <t>coverageAfter</t>
  </si>
  <si>
    <t>Cobertura tras la transacción</t>
  </si>
  <si>
    <t>Detail: Describe la situación posterior, si la transacción cambió la cobertura.</t>
  </si>
  <si>
    <t>Tipo de cobertura posterior</t>
  </si>
  <si>
    <t>"Vida + AP"</t>
  </si>
  <si>
    <t>Nombre/categoría de la nueva cobertura.</t>
  </si>
  <si>
    <t>Monto asegurado posterior</t>
  </si>
  <si>
    <t>Nuevo capital asegurado tras la transacción.</t>
  </si>
  <si>
    <t>Moneda posterior</t>
  </si>
  <si>
    <t>Moneda de la cobertura posterior.</t>
  </si>
  <si>
    <t>premiumBefore</t>
  </si>
  <si>
    <t>Prima antes de la transacción</t>
  </si>
  <si>
    <t>[0..1] (Detail)</t>
  </si>
  <si>
    <t>Detail: Si la transacción modifica la prima, se podría indicar la prima anterior.</t>
  </si>
  <si>
    <t>premiumAfter</t>
  </si>
  <si>
    <t>Prima posterior a la transacción</t>
  </si>
  <si>
    <t>Detail: Si se modificó la prima, especifica la nueva prima tras la transacción.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</si>
</sst>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4"/>
    </xf>
  </cellXfs>
  <cellStyles count="3">
    <cellStyle name="Fecha" xfId="2" xr:uid="{7EC00921-4C2C-4634-9882-DAC0234C4C66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784411</xdr:colOff>
      <xdr:row>0</xdr:row>
      <xdr:rowOff>0</xdr:rowOff>
    </xdr:from>
    <xdr:to>
      <xdr:col>8</xdr:col>
      <xdr:colOff>1383</xdr:colOff>
      <xdr:row>1</xdr:row>
      <xdr:rowOff>94718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C7F53FBA-61EC-424D-9E45-63FBB0346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1676" y="0"/>
          <a:ext cx="1514178" cy="789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1941</xdr:colOff>
      <xdr:row>0</xdr:row>
      <xdr:rowOff>576068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4C7B9F-C2A7-4007-84D6-FF314C5E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3794"/>
          <a:ext cx="2373666" cy="410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9ACE-2917-4F70-8BAE-0576B6CF490C}">
  <dimension ref="B1:L30"/>
  <sheetViews>
    <sheetView showGridLines="0" tabSelected="1" zoomScale="85" zoomScaleNormal="85" workbookViewId="0">
      <selection activeCell="D12" sqref="D12"/>
    </sheetView>
  </sheetViews>
  <sheetFormatPr baseColWidth="10" defaultColWidth="11.28515625" defaultRowHeight="15"/>
  <cols>
    <col min="1" max="1" width="6.7109375" customWidth="1"/>
    <col min="2" max="2" width="35.5703125" customWidth="1"/>
    <col min="3" max="3" width="38.140625" customWidth="1"/>
    <col min="4" max="4" width="23.28515625" customWidth="1"/>
    <col min="5" max="5" width="19.7109375" bestFit="1" customWidth="1"/>
    <col min="6" max="6" width="15.42578125" style="2" customWidth="1"/>
    <col min="7" max="7" width="13.7109375" customWidth="1"/>
    <col min="8" max="8" width="20.7109375" bestFit="1" customWidth="1"/>
    <col min="9" max="9" width="69.7109375" customWidth="1"/>
    <col min="10" max="10" width="78.7109375" customWidth="1"/>
  </cols>
  <sheetData>
    <row r="1" spans="2:10" ht="54.75" customHeight="1">
      <c r="B1" s="1"/>
    </row>
    <row r="2" spans="2:10" ht="21">
      <c r="B2" s="3" t="s">
        <v>0</v>
      </c>
      <c r="C2" s="3" t="s">
        <v>1</v>
      </c>
      <c r="D2" s="4" t="s">
        <v>2</v>
      </c>
      <c r="G2" s="4"/>
      <c r="H2" s="4"/>
    </row>
    <row r="4" spans="2:10" ht="21">
      <c r="B4" s="3" t="s">
        <v>3</v>
      </c>
    </row>
    <row r="5" spans="2:10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2:10">
      <c r="B6" s="7" t="s">
        <v>13</v>
      </c>
      <c r="C6" s="8" t="s">
        <v>14</v>
      </c>
      <c r="D6" s="8" t="s">
        <v>15</v>
      </c>
      <c r="E6" s="9" t="s">
        <v>16</v>
      </c>
      <c r="F6" s="9" t="s">
        <v>17</v>
      </c>
      <c r="G6" s="10" t="s">
        <v>18</v>
      </c>
      <c r="H6" s="10" t="s">
        <v>19</v>
      </c>
      <c r="I6" s="11">
        <v>1</v>
      </c>
      <c r="J6" s="12" t="s">
        <v>20</v>
      </c>
    </row>
    <row r="7" spans="2:10">
      <c r="B7" s="7" t="s">
        <v>21</v>
      </c>
      <c r="C7" s="8" t="s">
        <v>22</v>
      </c>
      <c r="D7" s="8" t="s">
        <v>15</v>
      </c>
      <c r="E7" s="9" t="s">
        <v>16</v>
      </c>
      <c r="F7" s="9" t="s">
        <v>17</v>
      </c>
      <c r="G7" s="10" t="s">
        <v>18</v>
      </c>
      <c r="H7" s="10" t="s">
        <v>19</v>
      </c>
      <c r="I7" s="11">
        <v>25</v>
      </c>
      <c r="J7" s="12" t="s">
        <v>23</v>
      </c>
    </row>
    <row r="9" spans="2:10" ht="21">
      <c r="B9" s="3" t="s">
        <v>24</v>
      </c>
    </row>
    <row r="10" spans="2:10" ht="9" customHeight="1">
      <c r="B10" s="3"/>
    </row>
    <row r="11" spans="2:10">
      <c r="B11" s="5" t="s">
        <v>25</v>
      </c>
      <c r="C11" s="6" t="s">
        <v>26</v>
      </c>
      <c r="D11" s="6" t="s">
        <v>7</v>
      </c>
      <c r="E11" s="5" t="s">
        <v>8</v>
      </c>
      <c r="F11" s="5" t="s">
        <v>9</v>
      </c>
      <c r="G11" s="5" t="s">
        <v>10</v>
      </c>
      <c r="H11" s="5" t="s">
        <v>11</v>
      </c>
      <c r="I11" s="5" t="s">
        <v>12</v>
      </c>
      <c r="J11" s="5" t="s">
        <v>27</v>
      </c>
    </row>
    <row r="12" spans="2:10">
      <c r="B12" s="7" t="s">
        <v>28</v>
      </c>
      <c r="C12" s="12"/>
      <c r="D12" s="12"/>
      <c r="E12" s="12"/>
      <c r="F12" s="10"/>
      <c r="G12" s="12"/>
      <c r="H12" s="10"/>
      <c r="I12" s="10"/>
      <c r="J12" s="13" t="str">
        <f>_xlfn.CONCAT("/",B12)</f>
        <v>/insuranceTransactionsResponse</v>
      </c>
    </row>
    <row r="13" spans="2:10" ht="30">
      <c r="B13" s="14" t="s">
        <v>29</v>
      </c>
      <c r="C13" s="12" t="s">
        <v>30</v>
      </c>
      <c r="D13" s="12" t="s">
        <v>31</v>
      </c>
      <c r="E13" s="12" t="s">
        <v>32</v>
      </c>
      <c r="F13" s="10" t="s">
        <v>33</v>
      </c>
      <c r="G13" s="12" t="s">
        <v>34</v>
      </c>
      <c r="H13" s="10"/>
      <c r="I13" s="10" t="s">
        <v>35</v>
      </c>
      <c r="J13" s="13" t="str">
        <f>_xlfn.CONCAT(J12,"/",B13)</f>
        <v>/insuranceTransactionsResponse/data</v>
      </c>
    </row>
    <row r="14" spans="2:10" ht="30">
      <c r="B14" s="15" t="s">
        <v>36</v>
      </c>
      <c r="C14" s="12" t="s">
        <v>37</v>
      </c>
      <c r="D14" s="12" t="s">
        <v>38</v>
      </c>
      <c r="E14" s="12" t="s">
        <v>39</v>
      </c>
      <c r="F14" s="10" t="s">
        <v>40</v>
      </c>
      <c r="G14" s="12" t="s">
        <v>19</v>
      </c>
      <c r="H14" s="10"/>
      <c r="I14" s="10" t="s">
        <v>41</v>
      </c>
      <c r="J14" s="13" t="str">
        <f>_xlfn.CONCAT(J13,"/",B14)</f>
        <v>/insuranceTransactionsResponse/data/transactions</v>
      </c>
    </row>
    <row r="15" spans="2:10">
      <c r="B15" s="16" t="s">
        <v>42</v>
      </c>
      <c r="C15" s="12" t="s">
        <v>43</v>
      </c>
      <c r="D15" s="12" t="s">
        <v>44</v>
      </c>
      <c r="E15" s="12" t="s">
        <v>45</v>
      </c>
      <c r="F15" s="10" t="s">
        <v>33</v>
      </c>
      <c r="G15" s="12" t="s">
        <v>34</v>
      </c>
      <c r="H15" s="10" t="s">
        <v>46</v>
      </c>
      <c r="I15" s="10" t="s">
        <v>47</v>
      </c>
      <c r="J15" s="13" t="str">
        <f>_xlfn.CONCAT($J$14,"/",B15)</f>
        <v>/insuranceTransactionsResponse/data/transactions/transactionId</v>
      </c>
    </row>
    <row r="16" spans="2:10" ht="30">
      <c r="B16" s="16" t="s">
        <v>48</v>
      </c>
      <c r="C16" s="12" t="s">
        <v>49</v>
      </c>
      <c r="D16" s="12" t="s">
        <v>50</v>
      </c>
      <c r="E16" s="12" t="s">
        <v>51</v>
      </c>
      <c r="F16" s="10" t="s">
        <v>33</v>
      </c>
      <c r="G16" s="12" t="s">
        <v>34</v>
      </c>
      <c r="H16" s="10" t="s">
        <v>52</v>
      </c>
      <c r="I16" s="10" t="s">
        <v>53</v>
      </c>
      <c r="J16" s="13" t="str">
        <f t="shared" ref="J16:J21" si="0">_xlfn.CONCAT($J$14,"/",B16)</f>
        <v>/insuranceTransactionsResponse/data/transactions/transactionDate</v>
      </c>
    </row>
    <row r="17" spans="2:10" ht="30">
      <c r="B17" s="16" t="s">
        <v>54</v>
      </c>
      <c r="C17" s="13" t="s">
        <v>55</v>
      </c>
      <c r="D17" s="17" t="s">
        <v>56</v>
      </c>
      <c r="E17" s="17" t="s">
        <v>45</v>
      </c>
      <c r="F17" s="10" t="s">
        <v>33</v>
      </c>
      <c r="G17" s="13" t="s">
        <v>34</v>
      </c>
      <c r="H17" s="10" t="s">
        <v>57</v>
      </c>
      <c r="I17" s="10" t="s">
        <v>58</v>
      </c>
      <c r="J17" s="13" t="str">
        <f t="shared" si="0"/>
        <v>/insuranceTransactionsResponse/data/transactions/transactionType</v>
      </c>
    </row>
    <row r="18" spans="2:10" ht="30">
      <c r="B18" s="16" t="s">
        <v>59</v>
      </c>
      <c r="C18" s="13" t="s">
        <v>60</v>
      </c>
      <c r="D18" s="13" t="s">
        <v>61</v>
      </c>
      <c r="E18" s="13" t="s">
        <v>45</v>
      </c>
      <c r="F18" s="10" t="s">
        <v>18</v>
      </c>
      <c r="G18" s="13" t="s">
        <v>19</v>
      </c>
      <c r="H18" s="10" t="s">
        <v>62</v>
      </c>
      <c r="I18" s="10" t="s">
        <v>63</v>
      </c>
      <c r="J18" s="13" t="str">
        <f t="shared" si="0"/>
        <v>/insuranceTransactionsResponse/data/transactions/description</v>
      </c>
    </row>
    <row r="19" spans="2:10" ht="30">
      <c r="B19" s="16" t="s">
        <v>64</v>
      </c>
      <c r="C19" s="13" t="s">
        <v>65</v>
      </c>
      <c r="D19" s="13" t="s">
        <v>66</v>
      </c>
      <c r="E19" s="13" t="s">
        <v>67</v>
      </c>
      <c r="F19" s="10" t="s">
        <v>18</v>
      </c>
      <c r="G19" s="13" t="s">
        <v>19</v>
      </c>
      <c r="H19" s="10">
        <v>50000</v>
      </c>
      <c r="I19" s="10" t="s">
        <v>68</v>
      </c>
      <c r="J19" s="13" t="str">
        <f t="shared" si="0"/>
        <v>/insuranceTransactionsResponse/data/transactions/amount</v>
      </c>
    </row>
    <row r="20" spans="2:10">
      <c r="B20" s="16" t="s">
        <v>69</v>
      </c>
      <c r="C20" s="13" t="s">
        <v>70</v>
      </c>
      <c r="D20" s="13" t="s">
        <v>71</v>
      </c>
      <c r="E20" s="13" t="s">
        <v>45</v>
      </c>
      <c r="F20" s="10" t="s">
        <v>18</v>
      </c>
      <c r="G20" s="13" t="s">
        <v>19</v>
      </c>
      <c r="H20" s="10" t="s">
        <v>72</v>
      </c>
      <c r="I20" s="10" t="s">
        <v>73</v>
      </c>
      <c r="J20" s="13" t="str">
        <f t="shared" si="0"/>
        <v>/insuranceTransactionsResponse/data/transactions/currency</v>
      </c>
    </row>
    <row r="21" spans="2:10" ht="30">
      <c r="B21" s="16" t="s">
        <v>74</v>
      </c>
      <c r="C21" s="13" t="s">
        <v>75</v>
      </c>
      <c r="D21" s="13" t="s">
        <v>76</v>
      </c>
      <c r="E21" s="13" t="s">
        <v>32</v>
      </c>
      <c r="F21" s="10" t="s">
        <v>18</v>
      </c>
      <c r="G21" s="13" t="s">
        <v>19</v>
      </c>
      <c r="H21" s="10"/>
      <c r="I21" s="10" t="s">
        <v>77</v>
      </c>
      <c r="J21" s="13" t="str">
        <f t="shared" si="0"/>
        <v>/insuranceTransactionsResponse/data/transactions/coverageBefore</v>
      </c>
    </row>
    <row r="22" spans="2:10">
      <c r="B22" s="18" t="s">
        <v>78</v>
      </c>
      <c r="C22" s="13" t="s">
        <v>79</v>
      </c>
      <c r="D22" s="13" t="s">
        <v>80</v>
      </c>
      <c r="E22" s="13" t="s">
        <v>45</v>
      </c>
      <c r="F22" s="10" t="s">
        <v>81</v>
      </c>
      <c r="G22" s="13" t="s">
        <v>82</v>
      </c>
      <c r="H22" s="10" t="s">
        <v>83</v>
      </c>
      <c r="I22" s="10" t="s">
        <v>84</v>
      </c>
      <c r="J22" s="13" t="str">
        <f>_xlfn.CONCAT($J$21,"/",B22)</f>
        <v>/insuranceTransactionsResponse/data/transactions/coverageBefore/coverageType</v>
      </c>
    </row>
    <row r="23" spans="2:10">
      <c r="B23" s="18" t="s">
        <v>85</v>
      </c>
      <c r="C23" s="13" t="s">
        <v>86</v>
      </c>
      <c r="D23" s="13" t="s">
        <v>66</v>
      </c>
      <c r="E23" s="13" t="s">
        <v>67</v>
      </c>
      <c r="F23" s="10" t="s">
        <v>81</v>
      </c>
      <c r="G23" s="13" t="s">
        <v>34</v>
      </c>
      <c r="H23" s="10">
        <v>10000000</v>
      </c>
      <c r="I23" s="10" t="s">
        <v>87</v>
      </c>
      <c r="J23" s="13" t="str">
        <f>_xlfn.CONCAT($J$21,"/",B23)</f>
        <v>/insuranceTransactionsResponse/data/transactions/coverageBefore/insuredAmount</v>
      </c>
    </row>
    <row r="24" spans="2:10">
      <c r="B24" s="18" t="s">
        <v>88</v>
      </c>
      <c r="C24" s="13" t="s">
        <v>89</v>
      </c>
      <c r="D24" s="13" t="s">
        <v>71</v>
      </c>
      <c r="E24" s="13" t="s">
        <v>45</v>
      </c>
      <c r="F24" s="10" t="s">
        <v>81</v>
      </c>
      <c r="G24" s="13" t="s">
        <v>34</v>
      </c>
      <c r="H24" s="10" t="s">
        <v>72</v>
      </c>
      <c r="I24" s="10" t="s">
        <v>90</v>
      </c>
      <c r="J24" s="13" t="str">
        <f>_xlfn.CONCAT($J$21,"/",B24)</f>
        <v>/insuranceTransactionsResponse/data/transactions/coverageBefore/insuredCurrency</v>
      </c>
    </row>
    <row r="25" spans="2:10" ht="30">
      <c r="B25" s="16" t="s">
        <v>91</v>
      </c>
      <c r="C25" s="13" t="s">
        <v>92</v>
      </c>
      <c r="D25" s="13" t="s">
        <v>76</v>
      </c>
      <c r="E25" s="13" t="s">
        <v>32</v>
      </c>
      <c r="F25" s="10" t="s">
        <v>18</v>
      </c>
      <c r="G25" s="13" t="s">
        <v>19</v>
      </c>
      <c r="H25" s="10"/>
      <c r="I25" s="10" t="s">
        <v>93</v>
      </c>
      <c r="J25" s="13" t="str">
        <f t="shared" ref="J25" si="1">_xlfn.CONCAT($J$14,"/",B25)</f>
        <v>/insuranceTransactionsResponse/data/transactions/coverageAfter</v>
      </c>
    </row>
    <row r="26" spans="2:10">
      <c r="B26" s="18" t="s">
        <v>78</v>
      </c>
      <c r="C26" s="13" t="s">
        <v>94</v>
      </c>
      <c r="D26" s="13" t="s">
        <v>80</v>
      </c>
      <c r="E26" s="13" t="s">
        <v>45</v>
      </c>
      <c r="F26" s="10" t="s">
        <v>81</v>
      </c>
      <c r="G26" s="13" t="s">
        <v>34</v>
      </c>
      <c r="H26" s="10" t="s">
        <v>95</v>
      </c>
      <c r="I26" s="10" t="s">
        <v>96</v>
      </c>
      <c r="J26" s="13" t="str">
        <f>_xlfn.CONCAT($J$25,"/",B26)</f>
        <v>/insuranceTransactionsResponse/data/transactions/coverageAfter/coverageType</v>
      </c>
    </row>
    <row r="27" spans="2:10">
      <c r="B27" s="18" t="s">
        <v>85</v>
      </c>
      <c r="C27" s="13" t="s">
        <v>97</v>
      </c>
      <c r="D27" s="13" t="s">
        <v>66</v>
      </c>
      <c r="E27" s="13" t="s">
        <v>67</v>
      </c>
      <c r="F27" s="10" t="s">
        <v>81</v>
      </c>
      <c r="G27" s="13" t="s">
        <v>34</v>
      </c>
      <c r="H27" s="10">
        <v>15000000</v>
      </c>
      <c r="I27" s="10" t="s">
        <v>98</v>
      </c>
      <c r="J27" s="13" t="str">
        <f t="shared" ref="J27:J28" si="2">_xlfn.CONCAT($J$25,"/",B27)</f>
        <v>/insuranceTransactionsResponse/data/transactions/coverageAfter/insuredAmount</v>
      </c>
    </row>
    <row r="28" spans="2:10">
      <c r="B28" s="18" t="s">
        <v>88</v>
      </c>
      <c r="C28" s="13" t="s">
        <v>99</v>
      </c>
      <c r="D28" s="13" t="s">
        <v>71</v>
      </c>
      <c r="E28" s="13" t="s">
        <v>45</v>
      </c>
      <c r="F28" s="10" t="s">
        <v>81</v>
      </c>
      <c r="G28" s="13" t="s">
        <v>34</v>
      </c>
      <c r="H28" s="10" t="s">
        <v>72</v>
      </c>
      <c r="I28" s="10" t="s">
        <v>100</v>
      </c>
      <c r="J28" s="13" t="str">
        <f t="shared" si="2"/>
        <v>/insuranceTransactionsResponse/data/transactions/coverageAfter/insuredCurrency</v>
      </c>
    </row>
    <row r="29" spans="2:10" ht="30">
      <c r="B29" s="16" t="s">
        <v>101</v>
      </c>
      <c r="C29" s="13" t="s">
        <v>102</v>
      </c>
      <c r="D29" s="13" t="s">
        <v>66</v>
      </c>
      <c r="E29" s="13" t="s">
        <v>67</v>
      </c>
      <c r="F29" s="10" t="s">
        <v>103</v>
      </c>
      <c r="G29" s="13" t="s">
        <v>19</v>
      </c>
      <c r="H29" s="10">
        <v>20000</v>
      </c>
      <c r="I29" s="10" t="s">
        <v>104</v>
      </c>
      <c r="J29" s="13" t="str">
        <f>_xlfn.CONCAT($J$14,"/",B29)</f>
        <v>/insuranceTransactionsResponse/data/transactions/premiumBefore</v>
      </c>
    </row>
    <row r="30" spans="2:10" ht="30">
      <c r="B30" s="16" t="s">
        <v>105</v>
      </c>
      <c r="C30" s="13" t="s">
        <v>106</v>
      </c>
      <c r="D30" s="13" t="s">
        <v>66</v>
      </c>
      <c r="E30" s="13" t="s">
        <v>67</v>
      </c>
      <c r="F30" s="10" t="s">
        <v>103</v>
      </c>
      <c r="G30" s="10" t="s">
        <v>19</v>
      </c>
      <c r="H30" s="10">
        <v>30000</v>
      </c>
      <c r="I30" s="10" t="s">
        <v>107</v>
      </c>
      <c r="J30" s="13" t="str">
        <f>_xlfn.CONCAT($J$14,"/",B30)</f>
        <v>/insuranceTransactionsResponse/data/transactions/premiumAfter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17655195-7C07-43DC-A7D0-5FFF5C0CE6CC}"/>
</file>

<file path=customXml/itemProps2.xml><?xml version="1.0" encoding="utf-8"?>
<ds:datastoreItem xmlns:ds="http://schemas.openxmlformats.org/officeDocument/2006/customXml" ds:itemID="{409B2A1C-BC12-49AF-940A-35E187EE9CFB}"/>
</file>

<file path=customXml/itemProps3.xml><?xml version="1.0" encoding="utf-8"?>
<ds:datastoreItem xmlns:ds="http://schemas.openxmlformats.org/officeDocument/2006/customXml" ds:itemID="{FA737D9A-26DA-4A10-A9EB-D69E42AA33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2025-06-26T18:26:55Z</dcterms:created>
  <dcterms:modified xsi:type="dcterms:W3CDTF">2025-06-26T18:28:11Z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