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7BE8E07E-9511-4DCC-9070-838DFE11B2C6}" xr6:coauthVersionLast="47" xr6:coauthVersionMax="47" xr10:uidLastSave="{00000000-0000-0000-0000-000000000000}"/>
  <bookViews>
    <workbookView xWindow="-110" yWindow="-110" windowWidth="19420" windowHeight="10300" xr2:uid="{A0FC017A-4AC2-43CD-9B4D-0F0E92EA7FFF}"/>
  </bookViews>
  <sheets>
    <sheet name="loansID-bala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18" i="1"/>
  <c r="I19" i="1" s="1"/>
  <c r="I21" i="1" l="1"/>
  <c r="I20" i="1"/>
  <c r="I22" i="1"/>
</calcChain>
</file>

<file path=xl/sharedStrings.xml><?xml version="1.0" encoding="utf-8"?>
<sst xmlns="http://schemas.openxmlformats.org/spreadsheetml/2006/main" count="160" uniqueCount="99">
  <si>
    <t>API:</t>
  </si>
  <si>
    <t>Recurso: GET</t>
  </si>
  <si>
    <t>/loans/v1/loans/{loanID}/balance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</si>
  <si>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</si>
  <si>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</si>
  <si>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</si>
  <si>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</si>
  <si>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</si>
  <si>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</si>
  <si>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</si>
  <si>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</si>
  <si>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</si>
  <si>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loanID</t>
  </si>
  <si>
    <t>Identificador del Préstamo</t>
  </si>
  <si>
    <t>Max40Text</t>
  </si>
  <si>
    <t>string</t>
  </si>
  <si>
    <t>[1..1]</t>
  </si>
  <si>
    <t>"LN12345"</t>
  </si>
  <si>
    <t>fromDate</t>
  </si>
  <si>
    <t>Fecha inicio de rango</t>
  </si>
  <si>
    <t>ISODate</t>
  </si>
  <si>
    <t>string (date)</t>
  </si>
  <si>
    <t>[0..1]</t>
  </si>
  <si>
    <t>"2025-01-01"</t>
  </si>
  <si>
    <t>toDate</t>
  </si>
  <si>
    <t>Fecha fin de rango</t>
  </si>
  <si>
    <t>"2025-03-31"</t>
  </si>
  <si>
    <t>page</t>
  </si>
  <si>
    <t>Número de página</t>
  </si>
  <si>
    <t>Query Param</t>
  </si>
  <si>
    <t>Max5NumericText</t>
  </si>
  <si>
    <t>number (int)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</si>
  <si>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</si>
  <si>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</si>
  <si>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</si>
  <si>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</si>
  <si>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</si>
  <si>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</si>
  <si>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loansBalanceResponse</t>
  </si>
  <si>
    <t>Objeto principal</t>
  </si>
  <si>
    <t>-</t>
  </si>
  <si>
    <t>object</t>
  </si>
  <si>
    <t>Raíz de la respuesta donde se incluyen el saldo actual y, si corresponde, el historial de saldos.</t>
  </si>
  <si>
    <t>/loansBalanceResponse</t>
  </si>
  <si>
    <t>data</t>
  </si>
  <si>
    <t>/loansBalanceResponse/data</t>
  </si>
  <si>
    <t>currentBalance</t>
  </si>
  <si>
    <t>/loansBalanceResponse/data/currentBalance</t>
  </si>
  <si>
    <t>Saldo actual</t>
  </si>
  <si>
    <t>Amount</t>
  </si>
  <si>
    <t>number</t>
  </si>
  <si>
    <t>Monto total adeudado en este momento (incluyendo intereses no facturados si aplica).</t>
  </si>
  <si>
    <t>currency</t>
  </si>
  <si>
    <t>Moneda del saldo actual</t>
  </si>
  <si>
    <t>ISO4217CurrencyCode</t>
  </si>
  <si>
    <t>"CLP"</t>
  </si>
  <si>
    <t>Moneda en que se expresa el saldo actual (p.ej. CLP, USD).</t>
  </si>
  <si>
    <t>updatedDateTime</t>
  </si>
  <si>
    <t>Fecha/Hora de cálculo</t>
  </si>
  <si>
    <t>ISODateTime</t>
  </si>
  <si>
    <t>string (date-time)</t>
  </si>
  <si>
    <t>"2025-02-25T15:00:00Z"</t>
  </si>
  <si>
    <t>Momento exacto en que se obtuvo el saldo actual.</t>
  </si>
  <si>
    <t>holdAmount</t>
  </si>
  <si>
    <t>Monto retenido</t>
  </si>
  <si>
    <t>Detail: Parte del saldo bloqueado por algún proceso (p.ej. cheque en canje, refinanciamiento en curso, etc.).</t>
  </si>
  <si>
    <t>arrearsBalance</t>
  </si>
  <si>
    <t>Monto en atraso</t>
  </si>
  <si>
    <t>Detail: Si hay una parte de la deuda vencida y pendiente de pago.</t>
  </si>
  <si>
    <t>balances</t>
  </si>
  <si>
    <t>Historial de saldos</t>
  </si>
  <si>
    <t>Array&lt;LoanBalanceHistory&gt;</t>
  </si>
  <si>
    <t>array&lt;object&gt;</t>
  </si>
  <si>
    <t>[0..*]</t>
  </si>
  <si>
    <t>Lista de registros de saldos históricos (si fromDate / toDate fueron provistos).</t>
  </si>
  <si>
    <t>/loansBalanceResponse/data/balances</t>
  </si>
  <si>
    <t>date</t>
  </si>
  <si>
    <t>Fecha del saldo</t>
  </si>
  <si>
    <t>"2025-01-10T00:00:00Z"</t>
  </si>
  <si>
    <t>Momento en que se registró el saldo.</t>
  </si>
  <si>
    <t>amount</t>
  </si>
  <si>
    <t>Monto del saldo</t>
  </si>
  <si>
    <t>Valor monetario en esa fecha/hora (puede representar fin de mes o snapshots diarios).</t>
  </si>
  <si>
    <t>Moneda del saldo hist.</t>
  </si>
  <si>
    <t>Moneda en la que se expresa el saldo histórico.</t>
  </si>
  <si>
    <t>minPaymentDue</t>
  </si>
  <si>
    <t>Pago mínimo</t>
  </si>
  <si>
    <t>Detail: Solo si aplica a ese período (por ejemplo, si el préstamo está estructurado con cuotas o facturaciones mensuales).</t>
  </si>
  <si>
    <t>dueDate</t>
  </si>
  <si>
    <t>Fecha de vencimiento</t>
  </si>
  <si>
    <t>"2025-03-10"</t>
  </si>
  <si>
    <t>Detail: Indica cuándo vencía el pago de ese período.</t>
  </si>
  <si>
    <t>lockedAmount</t>
  </si>
  <si>
    <t>Monto bloqueado</t>
  </si>
  <si>
    <t>2000.00</t>
  </si>
  <si>
    <t>Detail: Fondos bloqueados en ese momento histórico (p.ej., retenciones).</t>
  </si>
  <si>
    <t>lockedCurrency</t>
  </si>
  <si>
    <t>Moneda bloqueada</t>
  </si>
  <si>
    <t>Moneda del lockedAmount para ese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</si>
</sst>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5"/>
    </xf>
    <xf numFmtId="0" fontId="3" fillId="0" borderId="2" xfId="0" applyFont="1" applyBorder="1" applyAlignment="1">
      <alignment horizontal="left" vertical="center" wrapText="1" indent="5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5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5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3">
    <cellStyle name="Fecha" xfId="2" xr:uid="{B0AE860D-EAF1-4AB2-A189-86B40A93874C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920192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ECE6F025-D658-4CC8-91BB-CD49665B4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896" y="44824"/>
          <a:ext cx="1910620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507999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A7C32-4FF4-49CF-BD0C-470FA566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28917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6</xdr:col>
      <xdr:colOff>201706</xdr:colOff>
      <xdr:row>12</xdr:row>
      <xdr:rowOff>4654550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C7D23E-FC76-49D2-AF0A-BCE2E65AE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867150"/>
          <a:ext cx="7274859" cy="465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B2F4-0577-4406-B9D9-038A6E5221A9}">
  <dimension ref="B1:J32"/>
  <sheetViews>
    <sheetView showGridLines="0" tabSelected="1" zoomScale="85" zoomScaleNormal="85" workbookViewId="0">
      <selection activeCell="G14" sqref="G14:G30"/>
    </sheetView>
  </sheetViews>
  <sheetFormatPr baseColWidth="10" defaultColWidth="11.26953125" defaultRowHeight="14.5"/>
  <cols>
    <col min="1" max="1" width="6.81640625" customWidth="1"/>
    <col min="2" max="2" width="26.7265625" customWidth="1"/>
    <col min="3" max="3" width="24" bestFit="1" customWidth="1"/>
    <col min="4" max="4" width="24.54296875" customWidth="1"/>
    <col min="5" max="5" width="16.1796875" customWidth="1"/>
    <col min="6" max="6" width="14.54296875" style="2" customWidth="1"/>
    <col min="7" max="7" width="13.453125" customWidth="1"/>
    <col min="8" max="8" width="14.81640625" customWidth="1"/>
    <col min="9" max="9" width="58.453125" bestFit="1" customWidth="1"/>
    <col min="10" max="10" width="66.81640625" customWidth="1"/>
  </cols>
  <sheetData>
    <row r="1" spans="2:9" ht="70.5" customHeight="1">
      <c r="B1" s="1"/>
    </row>
    <row r="2" spans="2:9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9" ht="21">
      <c r="B4" s="3" t="s">
        <v>3</v>
      </c>
    </row>
    <row r="5" spans="2:9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spans="2:9">
      <c r="B6" s="7" t="s">
        <v>12</v>
      </c>
      <c r="C6" s="8" t="s">
        <v>13</v>
      </c>
      <c r="D6" s="9" t="s">
        <v>14</v>
      </c>
      <c r="E6" s="10" t="s">
        <v>15</v>
      </c>
      <c r="F6" s="10"/>
      <c r="G6" s="10" t="s">
        <v>16</v>
      </c>
      <c r="H6" s="11" t="s">
        <v>17</v>
      </c>
      <c r="I6" s="11"/>
    </row>
    <row r="7" spans="2:9">
      <c r="B7" s="7" t="s">
        <v>18</v>
      </c>
      <c r="C7" s="8" t="s">
        <v>19</v>
      </c>
      <c r="D7" s="9" t="s">
        <v>20</v>
      </c>
      <c r="E7" s="10" t="s">
        <v>21</v>
      </c>
      <c r="F7" s="10"/>
      <c r="G7" s="10" t="s">
        <v>22</v>
      </c>
      <c r="H7" s="11" t="s">
        <v>23</v>
      </c>
      <c r="I7" s="11"/>
    </row>
    <row r="8" spans="2:9">
      <c r="B8" s="7" t="s">
        <v>24</v>
      </c>
      <c r="C8" s="8" t="s">
        <v>25</v>
      </c>
      <c r="D8" s="9" t="s">
        <v>20</v>
      </c>
      <c r="E8" s="10" t="s">
        <v>21</v>
      </c>
      <c r="F8" s="10"/>
      <c r="G8" s="10" t="s">
        <v>22</v>
      </c>
      <c r="H8" s="11" t="s">
        <v>26</v>
      </c>
      <c r="I8" s="11"/>
    </row>
    <row r="9" spans="2:9">
      <c r="B9" s="7" t="s">
        <v>27</v>
      </c>
      <c r="C9" s="9" t="s">
        <v>28</v>
      </c>
      <c r="D9" s="9" t="s">
        <v>29</v>
      </c>
      <c r="E9" s="10" t="s">
        <v>30</v>
      </c>
      <c r="F9" s="10" t="s">
        <v>31</v>
      </c>
      <c r="G9" s="11" t="s">
        <v>22</v>
      </c>
      <c r="H9" s="12">
        <v>1</v>
      </c>
      <c r="I9" s="8" t="s">
        <v>32</v>
      </c>
    </row>
    <row r="10" spans="2:9">
      <c r="B10" s="7" t="s">
        <v>33</v>
      </c>
      <c r="C10" s="9" t="s">
        <v>34</v>
      </c>
      <c r="D10" s="9" t="s">
        <v>29</v>
      </c>
      <c r="E10" s="10" t="s">
        <v>30</v>
      </c>
      <c r="F10" s="10" t="s">
        <v>31</v>
      </c>
      <c r="G10" s="11" t="s">
        <v>22</v>
      </c>
      <c r="H10" s="12">
        <v>20</v>
      </c>
      <c r="I10" s="8" t="s">
        <v>35</v>
      </c>
    </row>
    <row r="12" spans="2:9" ht="21">
      <c r="B12" s="3" t="s">
        <v>36</v>
      </c>
    </row>
    <row r="13" spans="2:9" ht="373.5" customHeight="1">
      <c r="B13" s="3"/>
    </row>
    <row r="14" spans="2:9">
      <c r="B14" s="5" t="s">
        <v>4</v>
      </c>
      <c r="C14" s="6" t="s">
        <v>5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6" t="s">
        <v>37</v>
      </c>
    </row>
    <row r="15" spans="2:9" ht="87.5">
      <c r="B15" s="13" t="s">
        <v>38</v>
      </c>
      <c r="C15" s="8" t="s">
        <v>39</v>
      </c>
      <c r="D15" s="11" t="s">
        <v>40</v>
      </c>
      <c r="E15" s="11" t="s">
        <v>41</v>
      </c>
      <c r="F15" s="11" t="s">
        <v>16</v>
      </c>
      <c r="G15" s="9"/>
      <c r="H15" s="12" t="s">
        <v>42</v>
      </c>
      <c r="I15" s="14" t="s">
        <v>43</v>
      </c>
    </row>
    <row r="16" spans="2:9" ht="87.5">
      <c r="B16" s="15" t="s">
        <v>44</v>
      </c>
      <c r="C16" s="8" t="s">
        <v>39</v>
      </c>
      <c r="D16" s="11" t="s">
        <v>40</v>
      </c>
      <c r="E16" s="11" t="s">
        <v>41</v>
      </c>
      <c r="F16" s="11" t="s">
        <v>16</v>
      </c>
      <c r="G16" s="9"/>
      <c r="H16" s="12" t="s">
        <v>42</v>
      </c>
      <c r="I16" s="14" t="s">
        <v>45</v>
      </c>
    </row>
    <row r="17" spans="2:10" ht="87.5">
      <c r="B17" s="16" t="s">
        <v>46</v>
      </c>
      <c r="C17" s="8" t="s">
        <v>39</v>
      </c>
      <c r="D17" s="11" t="s">
        <v>40</v>
      </c>
      <c r="E17" s="11" t="s">
        <v>41</v>
      </c>
      <c r="F17" s="11" t="s">
        <v>16</v>
      </c>
      <c r="G17" s="9"/>
      <c r="H17" s="12" t="s">
        <v>42</v>
      </c>
      <c r="I17" s="14" t="s">
        <v>47</v>
      </c>
    </row>
    <row r="18" spans="2:10" ht="87.5">
      <c r="B18" s="17" t="s">
        <v>46</v>
      </c>
      <c r="C18" s="8" t="s">
        <v>48</v>
      </c>
      <c r="D18" s="11" t="s">
        <v>49</v>
      </c>
      <c r="E18" s="11" t="s">
        <v>50</v>
      </c>
      <c r="F18" s="11" t="s">
        <v>16</v>
      </c>
      <c r="G18" s="9">
        <v>3000000</v>
      </c>
      <c r="H18" s="12" t="s">
        <v>51</v>
      </c>
      <c r="I18" s="14" t="str">
        <f>CONCATENATE($I$17,"/",B18)</f>
        <v>/loansBalanceResponse/data/currentBalance/currentBalance</v>
      </c>
    </row>
    <row r="19" spans="2:10" ht="50">
      <c r="B19" s="17" t="s">
        <v>52</v>
      </c>
      <c r="C19" s="14" t="s">
        <v>53</v>
      </c>
      <c r="D19" s="11" t="s">
        <v>54</v>
      </c>
      <c r="E19" s="11" t="s">
        <v>15</v>
      </c>
      <c r="F19" s="11" t="s">
        <v>16</v>
      </c>
      <c r="G19" s="9" t="s">
        <v>55</v>
      </c>
      <c r="H19" s="12" t="s">
        <v>56</v>
      </c>
      <c r="I19" s="14" t="str">
        <f>CONCATENATE($I$18,"/",B19)</f>
        <v>/loansBalanceResponse/data/currentBalance/currentBalance/currency</v>
      </c>
    </row>
    <row r="20" spans="2:10" ht="37.5">
      <c r="B20" s="17" t="s">
        <v>57</v>
      </c>
      <c r="C20" s="14" t="s">
        <v>58</v>
      </c>
      <c r="D20" s="11" t="s">
        <v>59</v>
      </c>
      <c r="E20" s="11" t="s">
        <v>60</v>
      </c>
      <c r="F20" s="11" t="s">
        <v>22</v>
      </c>
      <c r="G20" s="12" t="s">
        <v>61</v>
      </c>
      <c r="H20" s="12" t="s">
        <v>62</v>
      </c>
      <c r="I20" s="14" t="str">
        <f>CONCATENATE($I$18,"/",B20)</f>
        <v>/loansBalanceResponse/data/currentBalance/currentBalance/updatedDateTime</v>
      </c>
    </row>
    <row r="21" spans="2:10" ht="87.5">
      <c r="B21" s="17" t="s">
        <v>63</v>
      </c>
      <c r="C21" s="14" t="s">
        <v>64</v>
      </c>
      <c r="D21" s="11" t="s">
        <v>49</v>
      </c>
      <c r="E21" s="11" t="s">
        <v>50</v>
      </c>
      <c r="F21" s="11" t="s">
        <v>22</v>
      </c>
      <c r="G21" s="12">
        <v>20000</v>
      </c>
      <c r="H21" s="12" t="s">
        <v>65</v>
      </c>
      <c r="I21" s="14" t="str">
        <f>CONCATENATE($I$18,"/",B21)</f>
        <v>/loansBalanceResponse/data/currentBalance/currentBalance/holdAmount</v>
      </c>
    </row>
    <row r="22" spans="2:10" ht="62.5">
      <c r="B22" s="17" t="s">
        <v>66</v>
      </c>
      <c r="C22" s="14" t="s">
        <v>67</v>
      </c>
      <c r="D22" s="11" t="s">
        <v>49</v>
      </c>
      <c r="E22" s="11" t="s">
        <v>50</v>
      </c>
      <c r="F22" s="11" t="s">
        <v>22</v>
      </c>
      <c r="G22" s="12">
        <v>150000</v>
      </c>
      <c r="H22" s="12" t="s">
        <v>68</v>
      </c>
      <c r="I22" s="14" t="str">
        <f>CONCATENATE($I$18,"/",B22)</f>
        <v>/loansBalanceResponse/data/currentBalance/currentBalance/arrearsBalance</v>
      </c>
    </row>
    <row r="23" spans="2:10" ht="87">
      <c r="B23" s="16" t="s">
        <v>69</v>
      </c>
      <c r="C23" s="14" t="s">
        <v>70</v>
      </c>
      <c r="D23" s="11" t="s">
        <v>71</v>
      </c>
      <c r="E23" s="11" t="s">
        <v>72</v>
      </c>
      <c r="F23" s="11" t="s">
        <v>73</v>
      </c>
      <c r="G23" s="12"/>
      <c r="H23" s="14" t="s">
        <v>74</v>
      </c>
      <c r="I23" s="14" t="s">
        <v>75</v>
      </c>
    </row>
    <row r="24" spans="2:10" ht="43.5">
      <c r="B24" s="18" t="s">
        <v>76</v>
      </c>
      <c r="C24" s="14" t="s">
        <v>77</v>
      </c>
      <c r="D24" s="11" t="s">
        <v>59</v>
      </c>
      <c r="E24" s="11" t="s">
        <v>60</v>
      </c>
      <c r="F24" s="11" t="s">
        <v>16</v>
      </c>
      <c r="G24" s="12" t="s">
        <v>78</v>
      </c>
      <c r="H24" s="14" t="s">
        <v>79</v>
      </c>
      <c r="I24" s="14" t="str">
        <f>CONCATENATE($I$23,"/",B24)</f>
        <v>/loansBalanceResponse/data/balances/date</v>
      </c>
    </row>
    <row r="25" spans="2:10" ht="116">
      <c r="B25" s="18" t="s">
        <v>80</v>
      </c>
      <c r="C25" s="14" t="s">
        <v>81</v>
      </c>
      <c r="D25" s="11" t="s">
        <v>49</v>
      </c>
      <c r="E25" s="11" t="s">
        <v>50</v>
      </c>
      <c r="F25" s="11" t="s">
        <v>16</v>
      </c>
      <c r="G25" s="12">
        <v>2500000</v>
      </c>
      <c r="H25" s="14" t="s">
        <v>82</v>
      </c>
      <c r="I25" s="14" t="str">
        <f t="shared" ref="I25:I30" si="0">CONCATENATE($I$23,"/",B25)</f>
        <v>/loansBalanceResponse/data/balances/amount</v>
      </c>
    </row>
    <row r="26" spans="2:10" ht="43.5">
      <c r="B26" s="18" t="s">
        <v>52</v>
      </c>
      <c r="C26" s="14" t="s">
        <v>83</v>
      </c>
      <c r="D26" s="11" t="s">
        <v>54</v>
      </c>
      <c r="E26" s="11" t="s">
        <v>15</v>
      </c>
      <c r="F26" s="11" t="s">
        <v>16</v>
      </c>
      <c r="G26" s="12" t="s">
        <v>55</v>
      </c>
      <c r="H26" s="14" t="s">
        <v>84</v>
      </c>
      <c r="I26" s="14" t="str">
        <f t="shared" si="0"/>
        <v>/loansBalanceResponse/data/balances/currency</v>
      </c>
    </row>
    <row r="27" spans="2:10" ht="130.5">
      <c r="B27" s="18" t="s">
        <v>85</v>
      </c>
      <c r="C27" s="14" t="s">
        <v>86</v>
      </c>
      <c r="D27" s="11" t="s">
        <v>49</v>
      </c>
      <c r="E27" s="11" t="s">
        <v>50</v>
      </c>
      <c r="F27" s="11" t="s">
        <v>22</v>
      </c>
      <c r="G27" s="12">
        <v>10000</v>
      </c>
      <c r="H27" s="14" t="s">
        <v>87</v>
      </c>
      <c r="I27" s="14" t="str">
        <f t="shared" si="0"/>
        <v>/loansBalanceResponse/data/balances/minPaymentDue</v>
      </c>
    </row>
    <row r="28" spans="2:10" ht="58">
      <c r="B28" s="18" t="s">
        <v>88</v>
      </c>
      <c r="C28" s="14" t="s">
        <v>89</v>
      </c>
      <c r="D28" s="11" t="s">
        <v>20</v>
      </c>
      <c r="E28" s="11" t="s">
        <v>21</v>
      </c>
      <c r="F28" s="11" t="s">
        <v>22</v>
      </c>
      <c r="G28" s="12" t="s">
        <v>90</v>
      </c>
      <c r="H28" s="14" t="s">
        <v>91</v>
      </c>
      <c r="I28" s="14" t="str">
        <f t="shared" si="0"/>
        <v>/loansBalanceResponse/data/balances/dueDate</v>
      </c>
    </row>
    <row r="29" spans="2:10" ht="72.5">
      <c r="B29" s="19" t="s">
        <v>92</v>
      </c>
      <c r="C29" s="20" t="s">
        <v>93</v>
      </c>
      <c r="D29" s="21" t="s">
        <v>49</v>
      </c>
      <c r="E29" s="21" t="s">
        <v>50</v>
      </c>
      <c r="F29" s="21" t="s">
        <v>22</v>
      </c>
      <c r="G29" s="22" t="s">
        <v>94</v>
      </c>
      <c r="H29" s="20" t="s">
        <v>95</v>
      </c>
      <c r="I29" s="14" t="str">
        <f t="shared" si="0"/>
        <v>/loansBalanceResponse/data/balances/lockedAmount</v>
      </c>
    </row>
    <row r="30" spans="2:10" ht="43.5">
      <c r="B30" s="23" t="s">
        <v>96</v>
      </c>
      <c r="C30" s="24" t="s">
        <v>97</v>
      </c>
      <c r="D30" s="25" t="s">
        <v>54</v>
      </c>
      <c r="E30" s="25" t="s">
        <v>15</v>
      </c>
      <c r="F30" s="25" t="s">
        <v>22</v>
      </c>
      <c r="G30" s="26" t="s">
        <v>55</v>
      </c>
      <c r="H30" s="24" t="s">
        <v>98</v>
      </c>
      <c r="I30" s="14" t="str">
        <f t="shared" si="0"/>
        <v>/loansBalanceResponse/data/balances/lockedCurrency</v>
      </c>
    </row>
    <row r="31" spans="2:10">
      <c r="B31" s="27"/>
      <c r="C31" s="28"/>
      <c r="D31" s="28"/>
      <c r="E31" s="28"/>
      <c r="F31" s="29"/>
      <c r="G31" s="30"/>
      <c r="H31" s="30"/>
      <c r="I31" s="29"/>
      <c r="J31" s="29"/>
    </row>
    <row r="32" spans="2:10">
      <c r="B32" s="27"/>
      <c r="C32" s="28"/>
      <c r="D32" s="28"/>
      <c r="E32" s="28"/>
      <c r="F32" s="29"/>
      <c r="G32" s="30"/>
      <c r="H32" s="30"/>
      <c r="I32" s="29"/>
      <c r="J32" s="29"/>
    </row>
  </sheetData>
  <pageMargins left="0.7" right="0.7" top="0.75" bottom="0.75" header="0.3" footer="0.3"/>
  <pageSetup paperSize="25" orientation="landscape" r:id="rId1"/>
  <drawing r:id="rId2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loansID-balances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2025-07-07T16:37:31Z</cp:lastPrinted>
  <dcterms:created xsi:type="dcterms:W3CDTF">2025-06-13T11:54:13Z</dcterms:created>
  <dcterms:modified xsi:type="dcterms:W3CDTF">2025-07-07T16:37:34Z</dcterms:modified>
</cp:coreProperties>
</file>