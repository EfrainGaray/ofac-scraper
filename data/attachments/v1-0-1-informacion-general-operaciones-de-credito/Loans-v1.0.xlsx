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8. Operaciones de Crédito/01. Loans/"/>
    </mc:Choice>
  </mc:AlternateContent>
  <xr:revisionPtr revIDLastSave="0" documentId="8_{4AAFA6B1-BBE6-4A46-8ABA-F3664AF5A880}" xr6:coauthVersionLast="47" xr6:coauthVersionMax="47" xr10:uidLastSave="{00000000-0000-0000-0000-000000000000}"/>
  <bookViews>
    <workbookView xWindow="-120" yWindow="-120" windowWidth="38640" windowHeight="15720" xr2:uid="{CD55DFD4-7F68-4D4C-B97F-2A14C56CE8A7}"/>
  </bookViews>
  <sheets>
    <sheet name="loa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</calcChain>
</file>

<file path=xl/sharedStrings.xml><?xml version="1.0" encoding="utf-8"?>
<sst xmlns="http://schemas.openxmlformats.org/spreadsheetml/2006/main" count="232" uniqueCount="142">
  <si>
    <t>API:</t>
  </si>
  <si>
    <t>Recurso: GET</t>
  </si>
  <si>
    <t>/loans/v1/loans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</si>
  <si>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</si>
  <si>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</si>
  <si>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</si>
  <si>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</si>
  <si>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</si>
  <si>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</si>
  <si>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</si>
  <si>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</si>
  <si>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</si>
  <si>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</si>
  <si>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</si>
  <si>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</si>
  <si>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</si>
  <si>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</si>
  <si>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</si>
  <si>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</si>
  <si>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</si>
  <si>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</si>
  <si>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</si>
  <si>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</si>
  <si>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</si>
  <si>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</si>
  <si>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</si>
  <si>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loansResponse</t>
  </si>
  <si>
    <t>Objeto principal</t>
  </si>
  <si>
    <t>-</t>
  </si>
  <si>
    <t>object</t>
  </si>
  <si>
    <t>[1..1]</t>
  </si>
  <si>
    <t>Sí</t>
  </si>
  <si>
    <t>Raíz donde se agrupan los datos devueltos por el endpoint.</t>
  </si>
  <si>
    <t>data</t>
  </si>
  <si>
    <t>Contenedor donde se ubica la lista de préstamos.</t>
  </si>
  <si>
    <t>loansResponse/data</t>
  </si>
  <si>
    <t>loans</t>
  </si>
  <si>
    <t>Lista de Operaciones de Crédito</t>
  </si>
  <si>
    <t>Array&lt;Loan&gt;</t>
  </si>
  <si>
    <t>array&lt;object&gt;</t>
  </si>
  <si>
    <t>[0..*]</t>
  </si>
  <si>
    <t>Cada elemento describe una operación de crédito con sus campos.</t>
  </si>
  <si>
    <t>loansResponse/data/loans</t>
  </si>
  <si>
    <t>productId</t>
  </si>
  <si>
    <t>ID interno del producto</t>
  </si>
  <si>
    <t>Max40Text</t>
  </si>
  <si>
    <t>string</t>
  </si>
  <si>
    <t>LN12345</t>
  </si>
  <si>
    <t>Identificador único a nivel interno del banco para esta operación de crédito.</t>
  </si>
  <si>
    <t>rut</t>
  </si>
  <si>
    <t>RUT del cliente</t>
  </si>
  <si>
    <t>RUTType</t>
  </si>
  <si>
    <t>11111111-1</t>
  </si>
  <si>
    <t>Identificador del titular (persona natural o jurídica).</t>
  </si>
  <si>
    <t>clientType</t>
  </si>
  <si>
    <t>Tipo de persona</t>
  </si>
  <si>
    <t>PersonTypeCode</t>
  </si>
  <si>
    <t>NATURAL</t>
  </si>
  <si>
    <t>Indica si es persona natural o jurídica.</t>
  </si>
  <si>
    <t>financialProductType</t>
  </si>
  <si>
    <t>Tipo de producto financiero</t>
  </si>
  <si>
    <t>FinancialProductTypeCode</t>
  </si>
  <si>
    <t>LOAN</t>
  </si>
  <si>
    <t>Informa que este producto es un préstamo/ operación de crédito (p.ej. “LOAN”).</t>
  </si>
  <si>
    <t>commercialCategory</t>
  </si>
  <si>
    <t>Categoría comercial</t>
  </si>
  <si>
    <t>Max70Text</t>
  </si>
  <si>
    <t>Hipotecario</t>
  </si>
  <si>
    <t>Segmento del producto: hipotecario, automotriz, consumo, etc.</t>
  </si>
  <si>
    <t>debtCurrency</t>
  </si>
  <si>
    <t>Moneda de la Deuda</t>
  </si>
  <si>
    <t>ISO4217CurrencyCode</t>
  </si>
  <si>
    <t>CLP</t>
  </si>
  <si>
    <t>Moneda en la que se mantiene la deuda (CLP, USD, UF).</t>
  </si>
  <si>
    <t>endOfMonthBalance</t>
  </si>
  <si>
    <t>Saldo a fin de mes</t>
  </si>
  <si>
    <t>Amount</t>
  </si>
  <si>
    <t>number</t>
  </si>
  <si>
    <t>Monto consolidado al cierre del período (facturación o corte).</t>
  </si>
  <si>
    <t>defaultLevel</t>
  </si>
  <si>
    <t>Nivel de mora</t>
  </si>
  <si>
    <t>DefaultLevelCode</t>
  </si>
  <si>
    <t>NORMAL</t>
  </si>
  <si>
    <t>Indica si está al día, en mora temprana o avanzada (ej. NORMAL, MORA30, MORA60, etc.).</t>
  </si>
  <si>
    <t>instrumentLink</t>
  </si>
  <si>
    <t>Vinculación con instrumento fin.</t>
  </si>
  <si>
    <t>InstrumentLinkType</t>
  </si>
  <si>
    <t>CuentaCorriente</t>
  </si>
  <si>
    <t>Refiere a si está ligado a una cuenta corriente, tarjeta de crédito, garantía asociada, etc.</t>
  </si>
  <si>
    <t>guaranteeAmount</t>
  </si>
  <si>
    <t>Monto de la garantía</t>
  </si>
  <si>
    <t>Si la operación está respaldada por una garantía o prenda, este es el valor asociado.</t>
  </si>
  <si>
    <t>operationDate</t>
  </si>
  <si>
    <t>Fecha de la operación</t>
  </si>
  <si>
    <t>ISODate</t>
  </si>
  <si>
    <t>string (date)</t>
  </si>
  <si>
    <t>Fecha de formalización del crédito (contrato).</t>
  </si>
  <si>
    <t>bookingDate</t>
  </si>
  <si>
    <t>Fecha contable de la operación</t>
  </si>
  <si>
    <t>Cuando el préstamo se registra en contabilidad (puede diferir de la fecha de contrato).</t>
  </si>
  <si>
    <t>loanCurrency</t>
  </si>
  <si>
    <t>Moneda del crédito</t>
  </si>
  <si>
    <t>Moneda específica del crédito (si difiere del “debtCurrency” en ciertos casos).</t>
  </si>
  <si>
    <t>rateType</t>
  </si>
  <si>
    <t>Tipo Tasa de Interés</t>
  </si>
  <si>
    <t>Enum</t>
  </si>
  <si>
    <t>Fija</t>
  </si>
  <si>
    <t>Identifica el tipo de tasa de interes (fija o variable)</t>
  </si>
  <si>
    <t>interestRate</t>
  </si>
  <si>
    <t>Tasa de interés</t>
  </si>
  <si>
    <t>Rate</t>
  </si>
  <si>
    <t>2.5</t>
  </si>
  <si>
    <t>Tasa nominal anual aplicable al préstamo.</t>
  </si>
  <si>
    <t>periodInterestRate</t>
  </si>
  <si>
    <t>Periodicidad de tasa</t>
  </si>
  <si>
    <t>Anual, Mensual</t>
  </si>
  <si>
    <t>loanTerm</t>
  </si>
  <si>
    <t>Plazo del crédito</t>
  </si>
  <si>
    <t>DurationType</t>
  </si>
  <si>
    <t>60 meses</t>
  </si>
  <si>
    <t>Descripción del plazo: ej. “60 meses”, “10 años”...</t>
  </si>
  <si>
    <t>monthlyInstallment</t>
  </si>
  <si>
    <t>Cuota mensual</t>
  </si>
  <si>
    <t>Campo extra: Valor aproximado de la cuota si el préstamo es en pagos periódicos.</t>
  </si>
  <si>
    <t>purpose</t>
  </si>
  <si>
    <t>Propósito del crédito</t>
  </si>
  <si>
    <t>Compra Vivienda</t>
  </si>
  <si>
    <t>Campo extra: Indica el destino del crédito (hipotecario, automotriz, etc.).</t>
  </si>
  <si>
    <t>amortizationScheduleLink</t>
  </si>
  <si>
    <t>Enlace tabla amortización</t>
  </si>
  <si>
    <t>URI</t>
  </si>
  <si>
    <t>https://...</t>
  </si>
  <si>
    <t>Campo extra: URL con la tabla de amortización o plan de pagos.</t>
  </si>
  <si>
    <t>insuranceCoverage</t>
  </si>
  <si>
    <t>Cobertura de seguro</t>
  </si>
  <si>
    <t>InsuranceCoverageType</t>
  </si>
  <si>
    <t>Desgravamen</t>
  </si>
  <si>
    <t>Campo extra: Indica si tiene seguro de desgravamen, cesantía, etc.</t>
  </si>
  <si>
    <t>collateralDetails</t>
  </si>
  <si>
    <t>Detalles del colateral</t>
  </si>
  <si>
    <t>CollateralType</t>
  </si>
  <si>
    <t>Campo extra: Subcampos para describir el bien en garantía, como auto, avalúo,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</si>
</sst>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20" fontId="7" fillId="0" borderId="1" xfId="0" applyNumberFormat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3">
    <cellStyle name="Fecha" xfId="2" xr:uid="{DDB9A4B1-938A-4BCC-B79B-B58EB8E624D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753409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43FBFBA8-F84A-479F-87DC-860FB9559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1146" y="44824"/>
          <a:ext cx="1915288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3C226B-92F8-4CEC-86B4-C0AF8E2C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317126</xdr:colOff>
      <xdr:row>9</xdr:row>
      <xdr:rowOff>5029200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2A355B9-5B5C-49DC-8137-1463BA58E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295650"/>
          <a:ext cx="7294469" cy="502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4419-DBF3-40DD-A8F4-3C6342F8EA85}">
  <dimension ref="B1:L37"/>
  <sheetViews>
    <sheetView showGridLines="0" tabSelected="1" zoomScale="85" zoomScaleNormal="85" workbookViewId="0">
      <selection activeCell="D34" sqref="D34"/>
    </sheetView>
  </sheetViews>
  <sheetFormatPr baseColWidth="10" defaultColWidth="11.28515625" defaultRowHeight="15"/>
  <cols>
    <col min="1" max="1" width="6.85546875" customWidth="1"/>
    <col min="2" max="2" width="38.28515625" customWidth="1"/>
    <col min="3" max="3" width="24" bestFit="1" customWidth="1"/>
    <col min="4" max="4" width="22.7109375" style="2" bestFit="1" customWidth="1"/>
    <col min="5" max="5" width="19.7109375" style="2" bestFit="1" customWidth="1"/>
    <col min="6" max="6" width="15.42578125" style="2" customWidth="1"/>
    <col min="7" max="7" width="13.85546875" customWidth="1"/>
    <col min="8" max="8" width="17.42578125" customWidth="1"/>
    <col min="9" max="9" width="58.42578125" bestFit="1" customWidth="1"/>
    <col min="10" max="10" width="48" bestFit="1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5" t="s">
        <v>2</v>
      </c>
      <c r="G2" s="4"/>
      <c r="H2" s="4"/>
    </row>
    <row r="4" spans="2:10" ht="21">
      <c r="B4" s="3" t="s">
        <v>3</v>
      </c>
    </row>
    <row r="5" spans="2:10">
      <c r="B5" s="6" t="s">
        <v>4</v>
      </c>
      <c r="C5" s="7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spans="2:10" ht="30">
      <c r="B6" s="8" t="s">
        <v>13</v>
      </c>
      <c r="C6" s="9" t="s">
        <v>14</v>
      </c>
      <c r="D6" s="10" t="s">
        <v>15</v>
      </c>
      <c r="E6" s="10" t="s">
        <v>16</v>
      </c>
      <c r="F6" s="10" t="s">
        <v>17</v>
      </c>
      <c r="G6" s="11" t="s">
        <v>18</v>
      </c>
      <c r="H6" s="11" t="s">
        <v>19</v>
      </c>
      <c r="I6" s="12">
        <v>1</v>
      </c>
      <c r="J6" s="13" t="s">
        <v>20</v>
      </c>
    </row>
    <row r="7" spans="2:10" ht="30">
      <c r="B7" s="8" t="s">
        <v>21</v>
      </c>
      <c r="C7" s="9" t="s">
        <v>22</v>
      </c>
      <c r="D7" s="10" t="s">
        <v>15</v>
      </c>
      <c r="E7" s="10" t="s">
        <v>16</v>
      </c>
      <c r="F7" s="10" t="s">
        <v>17</v>
      </c>
      <c r="G7" s="11" t="s">
        <v>18</v>
      </c>
      <c r="H7" s="11" t="s">
        <v>19</v>
      </c>
      <c r="I7" s="12">
        <v>20</v>
      </c>
      <c r="J7" s="13" t="s">
        <v>23</v>
      </c>
    </row>
    <row r="9" spans="2:10" ht="21">
      <c r="B9" s="3" t="s">
        <v>24</v>
      </c>
    </row>
    <row r="10" spans="2:10" ht="398.1" customHeight="1">
      <c r="B10" s="3"/>
    </row>
    <row r="11" spans="2:10">
      <c r="B11" s="6" t="s">
        <v>4</v>
      </c>
      <c r="C11" s="7" t="s">
        <v>5</v>
      </c>
      <c r="D11" s="6" t="s">
        <v>7</v>
      </c>
      <c r="E11" s="6" t="s">
        <v>8</v>
      </c>
      <c r="F11" s="6" t="s">
        <v>9</v>
      </c>
      <c r="G11" s="6" t="s">
        <v>10</v>
      </c>
      <c r="H11" s="6" t="s">
        <v>11</v>
      </c>
      <c r="I11" s="6" t="s">
        <v>12</v>
      </c>
      <c r="J11" s="7" t="s">
        <v>25</v>
      </c>
    </row>
    <row r="12" spans="2:10">
      <c r="B12" s="8" t="s">
        <v>26</v>
      </c>
      <c r="C12" s="13" t="s">
        <v>27</v>
      </c>
      <c r="D12" s="11" t="s">
        <v>28</v>
      </c>
      <c r="E12" s="10" t="s">
        <v>29</v>
      </c>
      <c r="F12" s="10" t="s">
        <v>30</v>
      </c>
      <c r="G12" s="11" t="s">
        <v>31</v>
      </c>
      <c r="H12" s="14"/>
      <c r="I12" s="12" t="s">
        <v>32</v>
      </c>
      <c r="J12" s="13" t="s">
        <v>26</v>
      </c>
    </row>
    <row r="13" spans="2:10">
      <c r="B13" s="15" t="s">
        <v>33</v>
      </c>
      <c r="C13" s="13" t="s">
        <v>27</v>
      </c>
      <c r="D13" s="11" t="s">
        <v>28</v>
      </c>
      <c r="E13" s="10" t="s">
        <v>29</v>
      </c>
      <c r="F13" s="10" t="s">
        <v>30</v>
      </c>
      <c r="G13" s="11" t="s">
        <v>31</v>
      </c>
      <c r="H13" s="14"/>
      <c r="I13" s="12" t="s">
        <v>34</v>
      </c>
      <c r="J13" s="13" t="s">
        <v>35</v>
      </c>
    </row>
    <row r="14" spans="2:10" ht="30">
      <c r="B14" s="16" t="s">
        <v>36</v>
      </c>
      <c r="C14" s="13" t="s">
        <v>37</v>
      </c>
      <c r="D14" s="11" t="s">
        <v>38</v>
      </c>
      <c r="E14" s="10" t="s">
        <v>39</v>
      </c>
      <c r="F14" s="10" t="s">
        <v>40</v>
      </c>
      <c r="G14" s="11" t="s">
        <v>19</v>
      </c>
      <c r="H14" s="14"/>
      <c r="I14" s="12" t="s">
        <v>41</v>
      </c>
      <c r="J14" s="13" t="s">
        <v>42</v>
      </c>
    </row>
    <row r="15" spans="2:10" ht="25.5">
      <c r="B15" s="17" t="s">
        <v>43</v>
      </c>
      <c r="C15" s="14" t="s">
        <v>44</v>
      </c>
      <c r="D15" s="11" t="s">
        <v>45</v>
      </c>
      <c r="E15" s="10" t="s">
        <v>46</v>
      </c>
      <c r="F15" s="10" t="s">
        <v>30</v>
      </c>
      <c r="G15" s="11" t="s">
        <v>31</v>
      </c>
      <c r="H15" s="14" t="s">
        <v>47</v>
      </c>
      <c r="I15" s="12" t="s">
        <v>48</v>
      </c>
      <c r="J15" s="14" t="str">
        <f>CONCATENATE($J$14,"/",B15)</f>
        <v>loansResponse/data/loans/productId</v>
      </c>
    </row>
    <row r="16" spans="2:10">
      <c r="B16" s="17" t="s">
        <v>49</v>
      </c>
      <c r="C16" s="14" t="s">
        <v>50</v>
      </c>
      <c r="D16" s="11" t="s">
        <v>51</v>
      </c>
      <c r="E16" s="10" t="s">
        <v>46</v>
      </c>
      <c r="F16" s="10" t="s">
        <v>30</v>
      </c>
      <c r="G16" s="11" t="s">
        <v>31</v>
      </c>
      <c r="H16" s="14" t="s">
        <v>52</v>
      </c>
      <c r="I16" s="9" t="s">
        <v>53</v>
      </c>
      <c r="J16" s="14" t="str">
        <f t="shared" ref="J16:J36" si="0">CONCATENATE($J$14,"/",B16)</f>
        <v>loansResponse/data/loans/rut</v>
      </c>
    </row>
    <row r="17" spans="2:10">
      <c r="B17" s="17" t="s">
        <v>54</v>
      </c>
      <c r="C17" s="14" t="s">
        <v>55</v>
      </c>
      <c r="D17" s="11" t="s">
        <v>56</v>
      </c>
      <c r="E17" s="10" t="s">
        <v>46</v>
      </c>
      <c r="F17" s="10" t="s">
        <v>18</v>
      </c>
      <c r="G17" s="11" t="s">
        <v>19</v>
      </c>
      <c r="H17" s="14" t="s">
        <v>57</v>
      </c>
      <c r="I17" s="12" t="s">
        <v>58</v>
      </c>
      <c r="J17" s="14" t="str">
        <f t="shared" si="0"/>
        <v>loansResponse/data/loans/clientType</v>
      </c>
    </row>
    <row r="18" spans="2:10" ht="30">
      <c r="B18" s="17" t="s">
        <v>59</v>
      </c>
      <c r="C18" s="14" t="s">
        <v>60</v>
      </c>
      <c r="D18" s="11" t="s">
        <v>61</v>
      </c>
      <c r="E18" s="18" t="s">
        <v>46</v>
      </c>
      <c r="F18" s="10" t="s">
        <v>30</v>
      </c>
      <c r="G18" s="11" t="s">
        <v>31</v>
      </c>
      <c r="H18" s="14" t="s">
        <v>62</v>
      </c>
      <c r="I18" s="12" t="s">
        <v>63</v>
      </c>
      <c r="J18" s="14" t="str">
        <f t="shared" si="0"/>
        <v>loansResponse/data/loans/financialProductType</v>
      </c>
    </row>
    <row r="19" spans="2:10">
      <c r="B19" s="17" t="s">
        <v>64</v>
      </c>
      <c r="C19" s="14" t="s">
        <v>65</v>
      </c>
      <c r="D19" s="11" t="s">
        <v>66</v>
      </c>
      <c r="E19" s="18" t="s">
        <v>46</v>
      </c>
      <c r="F19" s="10" t="s">
        <v>18</v>
      </c>
      <c r="G19" s="11" t="s">
        <v>19</v>
      </c>
      <c r="H19" s="14" t="s">
        <v>67</v>
      </c>
      <c r="I19" s="12" t="s">
        <v>68</v>
      </c>
      <c r="J19" s="14" t="str">
        <f t="shared" si="0"/>
        <v>loansResponse/data/loans/commercialCategory</v>
      </c>
    </row>
    <row r="20" spans="2:10">
      <c r="B20" s="17" t="s">
        <v>69</v>
      </c>
      <c r="C20" s="14" t="s">
        <v>70</v>
      </c>
      <c r="D20" s="11" t="s">
        <v>71</v>
      </c>
      <c r="E20" s="10" t="s">
        <v>46</v>
      </c>
      <c r="F20" s="10" t="s">
        <v>30</v>
      </c>
      <c r="G20" s="11" t="s">
        <v>31</v>
      </c>
      <c r="H20" s="14" t="s">
        <v>72</v>
      </c>
      <c r="I20" s="19" t="s">
        <v>73</v>
      </c>
      <c r="J20" s="14" t="str">
        <f t="shared" si="0"/>
        <v>loansResponse/data/loans/debtCurrency</v>
      </c>
    </row>
    <row r="21" spans="2:10">
      <c r="B21" s="17" t="s">
        <v>74</v>
      </c>
      <c r="C21" s="14" t="s">
        <v>75</v>
      </c>
      <c r="D21" s="11" t="s">
        <v>76</v>
      </c>
      <c r="E21" s="10" t="s">
        <v>77</v>
      </c>
      <c r="F21" s="10" t="s">
        <v>18</v>
      </c>
      <c r="G21" s="11" t="s">
        <v>19</v>
      </c>
      <c r="H21" s="14">
        <v>3500000</v>
      </c>
      <c r="I21" s="20" t="s">
        <v>78</v>
      </c>
      <c r="J21" s="14" t="str">
        <f t="shared" si="0"/>
        <v>loansResponse/data/loans/endOfMonthBalance</v>
      </c>
    </row>
    <row r="22" spans="2:10" ht="30">
      <c r="B22" s="17" t="s">
        <v>79</v>
      </c>
      <c r="C22" s="14" t="s">
        <v>80</v>
      </c>
      <c r="D22" s="11" t="s">
        <v>81</v>
      </c>
      <c r="E22" s="10" t="s">
        <v>46</v>
      </c>
      <c r="F22" s="10" t="s">
        <v>18</v>
      </c>
      <c r="G22" s="11" t="s">
        <v>19</v>
      </c>
      <c r="H22" s="14" t="s">
        <v>82</v>
      </c>
      <c r="I22" s="20" t="s">
        <v>83</v>
      </c>
      <c r="J22" s="14" t="str">
        <f t="shared" si="0"/>
        <v>loansResponse/data/loans/defaultLevel</v>
      </c>
    </row>
    <row r="23" spans="2:10" ht="30">
      <c r="B23" s="17" t="s">
        <v>84</v>
      </c>
      <c r="C23" s="14" t="s">
        <v>85</v>
      </c>
      <c r="D23" s="11" t="s">
        <v>86</v>
      </c>
      <c r="E23" s="10" t="s">
        <v>46</v>
      </c>
      <c r="F23" s="10" t="s">
        <v>18</v>
      </c>
      <c r="G23" s="11" t="s">
        <v>19</v>
      </c>
      <c r="H23" s="14" t="s">
        <v>87</v>
      </c>
      <c r="I23" s="21" t="s">
        <v>88</v>
      </c>
      <c r="J23" s="14" t="str">
        <f t="shared" si="0"/>
        <v>loansResponse/data/loans/instrumentLink</v>
      </c>
    </row>
    <row r="24" spans="2:10" ht="30">
      <c r="B24" s="17" t="s">
        <v>89</v>
      </c>
      <c r="C24" s="14" t="s">
        <v>90</v>
      </c>
      <c r="D24" s="11" t="s">
        <v>76</v>
      </c>
      <c r="E24" s="10" t="s">
        <v>77</v>
      </c>
      <c r="F24" s="10" t="s">
        <v>18</v>
      </c>
      <c r="G24" s="11" t="s">
        <v>19</v>
      </c>
      <c r="H24" s="14">
        <v>5000000</v>
      </c>
      <c r="I24" s="21" t="s">
        <v>91</v>
      </c>
      <c r="J24" s="14" t="str">
        <f t="shared" si="0"/>
        <v>loansResponse/data/loans/guaranteeAmount</v>
      </c>
    </row>
    <row r="25" spans="2:10">
      <c r="B25" s="17" t="s">
        <v>92</v>
      </c>
      <c r="C25" s="14" t="s">
        <v>93</v>
      </c>
      <c r="D25" s="11" t="s">
        <v>94</v>
      </c>
      <c r="E25" s="10" t="s">
        <v>95</v>
      </c>
      <c r="F25" s="10" t="s">
        <v>30</v>
      </c>
      <c r="G25" s="11" t="s">
        <v>31</v>
      </c>
      <c r="H25" s="22">
        <v>45703</v>
      </c>
      <c r="I25" s="21" t="s">
        <v>96</v>
      </c>
      <c r="J25" s="14" t="str">
        <f t="shared" si="0"/>
        <v>loansResponse/data/loans/operationDate</v>
      </c>
    </row>
    <row r="26" spans="2:10" ht="30">
      <c r="B26" s="17" t="s">
        <v>97</v>
      </c>
      <c r="C26" s="14" t="s">
        <v>98</v>
      </c>
      <c r="D26" s="11" t="s">
        <v>94</v>
      </c>
      <c r="E26" s="10" t="s">
        <v>95</v>
      </c>
      <c r="F26" s="10" t="s">
        <v>18</v>
      </c>
      <c r="G26" s="11" t="s">
        <v>19</v>
      </c>
      <c r="H26" s="22">
        <v>45704</v>
      </c>
      <c r="I26" s="21" t="s">
        <v>99</v>
      </c>
      <c r="J26" s="14" t="str">
        <f t="shared" si="0"/>
        <v>loansResponse/data/loans/bookingDate</v>
      </c>
    </row>
    <row r="27" spans="2:10" ht="30">
      <c r="B27" s="17" t="s">
        <v>100</v>
      </c>
      <c r="C27" s="14" t="s">
        <v>101</v>
      </c>
      <c r="D27" s="11" t="s">
        <v>71</v>
      </c>
      <c r="E27" s="10" t="s">
        <v>46</v>
      </c>
      <c r="F27" s="10" t="s">
        <v>30</v>
      </c>
      <c r="G27" s="11" t="s">
        <v>31</v>
      </c>
      <c r="H27" s="14" t="s">
        <v>72</v>
      </c>
      <c r="I27" s="21" t="s">
        <v>102</v>
      </c>
      <c r="J27" s="14" t="str">
        <f t="shared" si="0"/>
        <v>loansResponse/data/loans/loanCurrency</v>
      </c>
    </row>
    <row r="28" spans="2:10">
      <c r="B28" s="17" t="s">
        <v>103</v>
      </c>
      <c r="C28" s="14" t="s">
        <v>104</v>
      </c>
      <c r="D28" s="11" t="s">
        <v>105</v>
      </c>
      <c r="E28" s="11" t="s">
        <v>46</v>
      </c>
      <c r="F28" s="11" t="s">
        <v>30</v>
      </c>
      <c r="G28" s="18" t="s">
        <v>31</v>
      </c>
      <c r="H28" s="12" t="s">
        <v>106</v>
      </c>
      <c r="I28" s="14" t="s">
        <v>107</v>
      </c>
      <c r="J28" s="12" t="str">
        <f t="shared" si="0"/>
        <v>loansResponse/data/loans/rateType</v>
      </c>
    </row>
    <row r="29" spans="2:10">
      <c r="B29" s="17" t="s">
        <v>108</v>
      </c>
      <c r="C29" s="14" t="s">
        <v>109</v>
      </c>
      <c r="D29" s="11" t="s">
        <v>110</v>
      </c>
      <c r="E29" s="11" t="s">
        <v>77</v>
      </c>
      <c r="F29" s="11" t="s">
        <v>30</v>
      </c>
      <c r="G29" s="18" t="s">
        <v>31</v>
      </c>
      <c r="H29" s="12" t="s">
        <v>111</v>
      </c>
      <c r="I29" s="14" t="s">
        <v>112</v>
      </c>
      <c r="J29" s="12" t="str">
        <f t="shared" si="0"/>
        <v>loansResponse/data/loans/interestRate</v>
      </c>
    </row>
    <row r="30" spans="2:10">
      <c r="B30" s="17" t="s">
        <v>113</v>
      </c>
      <c r="C30" s="14" t="s">
        <v>114</v>
      </c>
      <c r="D30" s="11"/>
      <c r="E30" s="11" t="s">
        <v>46</v>
      </c>
      <c r="F30" s="11" t="s">
        <v>30</v>
      </c>
      <c r="G30" s="18" t="s">
        <v>31</v>
      </c>
      <c r="H30" s="12" t="s">
        <v>115</v>
      </c>
      <c r="I30" s="14" t="s">
        <v>114</v>
      </c>
      <c r="J30" s="12" t="str">
        <f t="shared" si="0"/>
        <v>loansResponse/data/loans/periodInterestRate</v>
      </c>
    </row>
    <row r="31" spans="2:10">
      <c r="B31" s="17" t="s">
        <v>116</v>
      </c>
      <c r="C31" s="14" t="s">
        <v>117</v>
      </c>
      <c r="D31" s="11" t="s">
        <v>118</v>
      </c>
      <c r="E31" s="10" t="s">
        <v>46</v>
      </c>
      <c r="F31" s="10" t="s">
        <v>30</v>
      </c>
      <c r="G31" s="11" t="s">
        <v>31</v>
      </c>
      <c r="H31" s="14" t="s">
        <v>119</v>
      </c>
      <c r="I31" s="21" t="s">
        <v>120</v>
      </c>
      <c r="J31" s="14" t="str">
        <f t="shared" si="0"/>
        <v>loansResponse/data/loans/loanTerm</v>
      </c>
    </row>
    <row r="32" spans="2:10" ht="30">
      <c r="B32" s="17" t="s">
        <v>121</v>
      </c>
      <c r="C32" s="14" t="s">
        <v>122</v>
      </c>
      <c r="D32" s="11" t="s">
        <v>76</v>
      </c>
      <c r="E32" s="10" t="s">
        <v>77</v>
      </c>
      <c r="F32" s="10" t="s">
        <v>18</v>
      </c>
      <c r="G32" s="11" t="s">
        <v>19</v>
      </c>
      <c r="H32" s="14">
        <v>200000</v>
      </c>
      <c r="I32" s="21" t="s">
        <v>123</v>
      </c>
      <c r="J32" s="14" t="str">
        <f t="shared" si="0"/>
        <v>loansResponse/data/loans/monthlyInstallment</v>
      </c>
    </row>
    <row r="33" spans="2:10" ht="30">
      <c r="B33" s="17" t="s">
        <v>124</v>
      </c>
      <c r="C33" s="14" t="s">
        <v>125</v>
      </c>
      <c r="D33" s="11" t="s">
        <v>66</v>
      </c>
      <c r="E33" s="10" t="s">
        <v>46</v>
      </c>
      <c r="F33" s="10" t="s">
        <v>18</v>
      </c>
      <c r="G33" s="11" t="s">
        <v>19</v>
      </c>
      <c r="H33" s="14" t="s">
        <v>126</v>
      </c>
      <c r="I33" s="21" t="s">
        <v>127</v>
      </c>
      <c r="J33" s="14" t="str">
        <f t="shared" si="0"/>
        <v>loansResponse/data/loans/purpose</v>
      </c>
    </row>
    <row r="34" spans="2:10" ht="30">
      <c r="B34" s="17" t="s">
        <v>128</v>
      </c>
      <c r="C34" s="14" t="s">
        <v>129</v>
      </c>
      <c r="D34" s="11" t="s">
        <v>130</v>
      </c>
      <c r="E34" s="10" t="s">
        <v>46</v>
      </c>
      <c r="F34" s="10" t="s">
        <v>18</v>
      </c>
      <c r="G34" s="11" t="s">
        <v>19</v>
      </c>
      <c r="H34" s="14" t="s">
        <v>131</v>
      </c>
      <c r="I34" s="21" t="s">
        <v>132</v>
      </c>
      <c r="J34" s="14" t="str">
        <f t="shared" si="0"/>
        <v>loansResponse/data/loans/amortizationScheduleLink</v>
      </c>
    </row>
    <row r="35" spans="2:10" ht="30">
      <c r="B35" s="17" t="s">
        <v>133</v>
      </c>
      <c r="C35" s="14" t="s">
        <v>134</v>
      </c>
      <c r="D35" s="11" t="s">
        <v>135</v>
      </c>
      <c r="E35" s="10" t="s">
        <v>46</v>
      </c>
      <c r="F35" s="10" t="s">
        <v>18</v>
      </c>
      <c r="G35" s="11" t="s">
        <v>19</v>
      </c>
      <c r="H35" s="14" t="s">
        <v>136</v>
      </c>
      <c r="I35" s="21" t="s">
        <v>137</v>
      </c>
      <c r="J35" s="14" t="str">
        <f t="shared" si="0"/>
        <v>loansResponse/data/loans/insuranceCoverage</v>
      </c>
    </row>
    <row r="36" spans="2:10" ht="30">
      <c r="B36" s="17" t="s">
        <v>138</v>
      </c>
      <c r="C36" s="14" t="s">
        <v>139</v>
      </c>
      <c r="D36" s="11" t="s">
        <v>140</v>
      </c>
      <c r="E36" s="10" t="s">
        <v>46</v>
      </c>
      <c r="F36" s="10" t="s">
        <v>18</v>
      </c>
      <c r="G36" s="11" t="s">
        <v>19</v>
      </c>
      <c r="H36" s="14"/>
      <c r="I36" s="21" t="s">
        <v>141</v>
      </c>
      <c r="J36" s="14" t="str">
        <f t="shared" si="0"/>
        <v>loansResponse/data/loans/collateralDetails</v>
      </c>
    </row>
    <row r="37" spans="2:10">
      <c r="B37" s="2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DAC61A80-271B-46B1-858A-E758034914D3}"/>
</file>

<file path=customXml/itemProps2.xml><?xml version="1.0" encoding="utf-8"?>
<ds:datastoreItem xmlns:ds="http://schemas.openxmlformats.org/officeDocument/2006/customXml" ds:itemID="{B84E87B1-D1C5-42D4-AEF9-32E247EAE909}"/>
</file>

<file path=customXml/itemProps3.xml><?xml version="1.0" encoding="utf-8"?>
<ds:datastoreItem xmlns:ds="http://schemas.openxmlformats.org/officeDocument/2006/customXml" ds:itemID="{60634A6D-0316-4396-BF63-1041EDD75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2025-06-13T11:51:25Z</dcterms:created>
  <dcterms:modified xsi:type="dcterms:W3CDTF">2025-06-13T11:52:36Z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