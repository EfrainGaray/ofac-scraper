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2. Instrumentos de ahorro e Inversión/02. {InvestmentsID}/"/>
    </mc:Choice>
  </mc:AlternateContent>
  <xr:revisionPtr revIDLastSave="0" documentId="8_{46469E3F-7A3E-45ED-961F-136AF9D8BDE1}" xr6:coauthVersionLast="47" xr6:coauthVersionMax="47" xr10:uidLastSave="{00000000-0000-0000-0000-000000000000}"/>
  <bookViews>
    <workbookView xWindow="-120" yWindow="-120" windowWidth="38640" windowHeight="15720" xr2:uid="{B986B8FF-020E-4E60-A13F-02D35866780D}"/>
  </bookViews>
  <sheets>
    <sheet name="investments 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  <c r="J23" i="1" l="1"/>
  <c r="J21" i="1"/>
  <c r="J16" i="1"/>
  <c r="J22" i="1"/>
  <c r="J17" i="1"/>
  <c r="J25" i="1"/>
  <c r="J20" i="1"/>
  <c r="J19" i="1"/>
  <c r="J18" i="1"/>
  <c r="J15" i="1"/>
  <c r="J24" i="1"/>
  <c r="J35" i="1" l="1"/>
  <c r="J29" i="1"/>
  <c r="J26" i="1"/>
  <c r="J34" i="1"/>
  <c r="J33" i="1"/>
  <c r="J27" i="1"/>
  <c r="J32" i="1"/>
  <c r="J30" i="1"/>
  <c r="J28" i="1"/>
  <c r="J31" i="1"/>
</calcChain>
</file>

<file path=xl/sharedStrings.xml><?xml version="1.0" encoding="utf-8"?>
<sst xmlns="http://schemas.openxmlformats.org/spreadsheetml/2006/main" count="215" uniqueCount="133">
  <si>
    <t>API:</t>
  </si>
  <si>
    <t>Recurso: GET</t>
  </si>
  <si>
    <t xml:space="preserve"> /investments/v1/investments/{investmentId}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</si>
  <si>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</si>
  <si>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</si>
  <si>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</si>
  <si>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</si>
  <si>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</si>
  <si>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</si>
  <si>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</si>
  <si>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</si>
  <si>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</si>
  <si>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</si>
  <si>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investmentId</t>
  </si>
  <si>
    <t>Indentificador del instrumento</t>
  </si>
  <si>
    <t>Query Param</t>
  </si>
  <si>
    <t>string</t>
  </si>
  <si>
    <t>[0..1]</t>
  </si>
  <si>
    <t>Sí</t>
  </si>
  <si>
    <t>INV123454</t>
  </si>
  <si>
    <t>Response:</t>
  </si>
  <si>
    <t>Name</t>
  </si>
  <si>
    <t>Glosa Field Name</t>
  </si>
  <si>
    <t>Path</t>
  </si>
  <si>
    <t>investmentResponse</t>
  </si>
  <si>
    <t>Objeto principal</t>
  </si>
  <si>
    <t>-</t>
  </si>
  <si>
    <t>object</t>
  </si>
  <si>
    <t>[1..1]</t>
  </si>
  <si>
    <t>Raíz de la respuesta que contiene los datos para GET /investments.</t>
  </si>
  <si>
    <t>data</t>
  </si>
  <si>
    <t>Response: Contenedor raíz.</t>
  </si>
  <si>
    <t>investment</t>
  </si>
  <si>
    <t>Información de la inversión</t>
  </si>
  <si>
    <t>InvestmentItem (objeto)</t>
  </si>
  <si>
    <t>Response: Objeto con la inversión consultada (depósito a plazo, fondo, APV), análogo a un elemento de la lista del endpoint anterior.</t>
  </si>
  <si>
    <t>investmentType</t>
  </si>
  <si>
    <t>Tipo de instrumento</t>
  </si>
  <si>
    <t>InvestmentTypeCode</t>
  </si>
  <si>
    <t>"TERM_DEPOSIT"</t>
  </si>
  <si>
    <t>“TERM_DEPOSIT” (depósito a plazo), “FUND” (fondos), “APV” (ahorro previsional voluntario), etc.</t>
  </si>
  <si>
    <t>rutClient</t>
  </si>
  <si>
    <t>RUT del cliente</t>
  </si>
  <si>
    <t>RUTType</t>
  </si>
  <si>
    <t>"11111111-1"</t>
  </si>
  <si>
    <t>Formato NNNNNNNN-K.</t>
  </si>
  <si>
    <t>productId</t>
  </si>
  <si>
    <t>ID interno del producto</t>
  </si>
  <si>
    <t>Max40Text</t>
  </si>
  <si>
    <t>"INV12345"</t>
  </si>
  <si>
    <t>Identificador único para la inversión.</t>
  </si>
  <si>
    <t>productOwner</t>
  </si>
  <si>
    <t>Dueño del producto</t>
  </si>
  <si>
    <t>"Casa de valores de Chile"</t>
  </si>
  <si>
    <t>Nombre de la entidad que es la dueña del producto financiero</t>
  </si>
  <si>
    <t>financialProductType</t>
  </si>
  <si>
    <t>Tipo de producto financiero</t>
  </si>
  <si>
    <t>FinancialProductTypeCode</t>
  </si>
  <si>
    <t>"INVESTMENT"</t>
  </si>
  <si>
    <t>Indica que es un producto de inversión.</t>
  </si>
  <si>
    <t>commercialCategory</t>
  </si>
  <si>
    <t>Categoría comercial</t>
  </si>
  <si>
    <t>Max70Text</t>
  </si>
  <si>
    <t>"DEPOSITO_PLAZO"</t>
  </si>
  <si>
    <t>Ej. “DEPOSITO_PLAZO”, “FONDOS_MUTUOS”, “APV”.</t>
  </si>
  <si>
    <t>coverageStartDate</t>
  </si>
  <si>
    <t>Fecha de contratación</t>
  </si>
  <si>
    <t>ISODate</t>
  </si>
  <si>
    <t>string (date)</t>
  </si>
  <si>
    <t>No</t>
  </si>
  <si>
    <t>"2025-01-15"</t>
  </si>
  <si>
    <t>Fecha de inicio de la relación contractual de la inversión.</t>
  </si>
  <si>
    <t>coverageEndDate</t>
  </si>
  <si>
    <t>Fecha de vigencia fin</t>
  </si>
  <si>
    <t>"2026-01-15"</t>
  </si>
  <si>
    <t>Fecha de término del plazo o vigencia, si aplica.</t>
  </si>
  <si>
    <t>insuredAmount</t>
  </si>
  <si>
    <t>Monto invertido</t>
  </si>
  <si>
    <t>Amount</t>
  </si>
  <si>
    <t>number</t>
  </si>
  <si>
    <t>“stock” o capital invertido.</t>
  </si>
  <si>
    <t>insuredCurrency</t>
  </si>
  <si>
    <t>Moneda del monto invertido</t>
  </si>
  <si>
    <t>ISO4217CurrencyCode</t>
  </si>
  <si>
    <t>"CLP"</t>
  </si>
  <si>
    <t>Moneda en la que se expresa la inversión.</t>
  </si>
  <si>
    <t>instrumentData</t>
  </si>
  <si>
    <t>Datos específicos del instrumento</t>
  </si>
  <si>
    <t>[1..1] (Detail)</t>
  </si>
  <si>
    <t>Sí (Detail)</t>
  </si>
  <si>
    <t>Subobjeto que varía según investmentType. Contiene campos especiales para Depósito a plazo, Fondos, o APV.</t>
  </si>
  <si>
    <t>serialCode</t>
  </si>
  <si>
    <t>código de Serie</t>
  </si>
  <si>
    <t>"4534SF4343"</t>
  </si>
  <si>
    <t>depositTermType</t>
  </si>
  <si>
    <t>Tipo de plazo</t>
  </si>
  <si>
    <t>TermTypeCode</t>
  </si>
  <si>
    <t>"FIJO"</t>
  </si>
  <si>
    <t>“FIJO”, “RENOVABLE”, etc.</t>
  </si>
  <si>
    <t>stockEndOfMonth</t>
  </si>
  <si>
    <t>Stock a fin de mes</t>
  </si>
  <si>
    <t>Valor consolidado al cierre del mes.</t>
  </si>
  <si>
    <t>depositTermDuration</t>
  </si>
  <si>
    <t>Plazo del depósito (días/meses)</t>
  </si>
  <si>
    <t>DurationType</t>
  </si>
  <si>
    <t>"30 días"</t>
  </si>
  <si>
    <t>Duración original del depósito.</t>
  </si>
  <si>
    <t>depositRemainingTerm</t>
  </si>
  <si>
    <t>Plazo remanente</t>
  </si>
  <si>
    <t>"15 días"</t>
  </si>
  <si>
    <t>Tiempo que falta para el vencimiento.</t>
  </si>
  <si>
    <t>annualEffectiveInterestRate</t>
  </si>
  <si>
    <t>Tasa de interés efectiva anualizada</t>
  </si>
  <si>
    <t>Rate</t>
  </si>
  <si>
    <t>3.5</t>
  </si>
  <si>
    <t>Expresado en % (3.5 =&gt; 3.5%).</t>
  </si>
  <si>
    <t>fundSeries</t>
  </si>
  <si>
    <t>Serie</t>
  </si>
  <si>
    <t>FundSeriesCode</t>
  </si>
  <si>
    <t>"SERIE A"</t>
  </si>
  <si>
    <t>Solo aplica si investmentType = "FUND". Define la serie del fondo.</t>
  </si>
  <si>
    <t>mnemonic</t>
  </si>
  <si>
    <t>Nemotécnico</t>
  </si>
  <si>
    <t>"FNDMUTABC"</t>
  </si>
  <si>
    <t>Nombre corto, o ticker, usado en la administradora/broker.</t>
  </si>
  <si>
    <t>stockInvestment</t>
  </si>
  <si>
    <t>Stock de la inversión APV</t>
  </si>
  <si>
    <t>Valor acumulado en la cuenta APV. Solo para investmentType = "APV".</t>
  </si>
  <si>
    <t>saleType</t>
  </si>
  <si>
    <t>Tipo de venta</t>
  </si>
  <si>
    <t>SaleTypeCode</t>
  </si>
  <si>
    <t>"ONLINE"</t>
  </si>
  <si>
    <t>Campo extra: indica cómo se gestionó la APV (online, telemarketing...).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</si>
</sst>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4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0" fillId="3" borderId="0" xfId="0" applyFill="1"/>
  </cellXfs>
  <cellStyles count="3">
    <cellStyle name="Fecha" xfId="2" xr:uid="{F79EDB80-7127-484D-B49A-F27E2BBE3DE7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7</xdr:col>
      <xdr:colOff>1334883</xdr:colOff>
      <xdr:row>1</xdr:row>
      <xdr:rowOff>94502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6F46778-CCD3-4300-B9E0-9D1B5648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84" y="0"/>
          <a:ext cx="1992124" cy="98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2383191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A0FC3-3390-4EAE-A9B3-FD6A6E1C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38319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EB3E-2E07-4C1F-85EB-B8B251DFE115}">
  <dimension ref="A1:L35"/>
  <sheetViews>
    <sheetView showGridLines="0" tabSelected="1" zoomScale="85" zoomScaleNormal="85" workbookViewId="0">
      <selection activeCell="J17" sqref="J17"/>
    </sheetView>
  </sheetViews>
  <sheetFormatPr baseColWidth="10" defaultColWidth="11.28515625" defaultRowHeight="15"/>
  <cols>
    <col min="1" max="1" width="6.7109375" customWidth="1"/>
    <col min="2" max="2" width="38.28515625" customWidth="1"/>
    <col min="3" max="3" width="30" customWidth="1"/>
    <col min="4" max="4" width="23.28515625" customWidth="1"/>
    <col min="5" max="5" width="19.7109375" bestFit="1" customWidth="1"/>
    <col min="6" max="6" width="17.140625" style="2" customWidth="1"/>
    <col min="7" max="7" width="15.42578125" customWidth="1"/>
    <col min="8" max="8" width="20.7109375" bestFit="1" customWidth="1"/>
    <col min="9" max="9" width="64" customWidth="1"/>
    <col min="10" max="10" width="73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12.75" customHeight="1"/>
    <row r="5" spans="2:10" ht="21">
      <c r="B5" s="3" t="s">
        <v>3</v>
      </c>
    </row>
    <row r="6" spans="2:1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9" t="s">
        <v>16</v>
      </c>
      <c r="F7" s="9" t="s">
        <v>16</v>
      </c>
      <c r="G7" s="10" t="s">
        <v>17</v>
      </c>
      <c r="H7" s="10" t="s">
        <v>18</v>
      </c>
      <c r="I7" s="11" t="s">
        <v>19</v>
      </c>
      <c r="J7" s="12"/>
    </row>
    <row r="8" spans="2:10">
      <c r="B8" s="13"/>
      <c r="C8" s="14"/>
      <c r="D8" s="14"/>
      <c r="E8" s="15"/>
      <c r="F8" s="15"/>
      <c r="G8" s="16"/>
      <c r="H8" s="16"/>
      <c r="I8" s="17"/>
      <c r="J8" s="18"/>
    </row>
    <row r="10" spans="2:10" ht="21">
      <c r="B10" s="3" t="s">
        <v>20</v>
      </c>
    </row>
    <row r="11" spans="2:10">
      <c r="B11" s="5" t="s">
        <v>21</v>
      </c>
      <c r="C11" s="6" t="s">
        <v>22</v>
      </c>
      <c r="D11" s="6" t="s">
        <v>7</v>
      </c>
      <c r="E11" s="5" t="s">
        <v>8</v>
      </c>
      <c r="F11" s="5" t="s">
        <v>9</v>
      </c>
      <c r="G11" s="5" t="s">
        <v>10</v>
      </c>
      <c r="H11" s="6" t="s">
        <v>11</v>
      </c>
      <c r="I11" s="5" t="s">
        <v>12</v>
      </c>
      <c r="J11" s="5" t="s">
        <v>23</v>
      </c>
    </row>
    <row r="12" spans="2:10">
      <c r="B12" s="7" t="s">
        <v>24</v>
      </c>
      <c r="C12" s="12" t="s">
        <v>25</v>
      </c>
      <c r="D12" s="12" t="s">
        <v>26</v>
      </c>
      <c r="E12" s="10" t="s">
        <v>27</v>
      </c>
      <c r="F12" s="10" t="s">
        <v>28</v>
      </c>
      <c r="G12" s="10" t="s">
        <v>18</v>
      </c>
      <c r="H12" s="19"/>
      <c r="I12" s="19" t="s">
        <v>29</v>
      </c>
      <c r="J12" s="11" t="str">
        <f>CONCATENATE("/",B12)</f>
        <v>/investmentResponse</v>
      </c>
    </row>
    <row r="13" spans="2:10">
      <c r="B13" s="20" t="s">
        <v>30</v>
      </c>
      <c r="C13" s="12" t="s">
        <v>25</v>
      </c>
      <c r="D13" s="12" t="s">
        <v>26</v>
      </c>
      <c r="E13" s="10" t="s">
        <v>27</v>
      </c>
      <c r="F13" s="10" t="s">
        <v>28</v>
      </c>
      <c r="G13" s="10" t="s">
        <v>18</v>
      </c>
      <c r="H13" s="19"/>
      <c r="I13" s="19" t="s">
        <v>31</v>
      </c>
      <c r="J13" s="19" t="str">
        <f>CONCATENATE(J12,"/",B13)</f>
        <v>/investmentResponse/data</v>
      </c>
    </row>
    <row r="14" spans="2:10" ht="30">
      <c r="B14" s="21" t="s">
        <v>32</v>
      </c>
      <c r="C14" s="12" t="s">
        <v>33</v>
      </c>
      <c r="D14" s="12" t="s">
        <v>34</v>
      </c>
      <c r="E14" s="10" t="s">
        <v>27</v>
      </c>
      <c r="F14" s="10" t="s">
        <v>28</v>
      </c>
      <c r="G14" s="10" t="s">
        <v>18</v>
      </c>
      <c r="H14" s="19"/>
      <c r="I14" s="19" t="s">
        <v>35</v>
      </c>
      <c r="J14" s="19" t="str">
        <f>CONCATENATE(J13,"/",B14)</f>
        <v>/investmentResponse/data/investment</v>
      </c>
    </row>
    <row r="15" spans="2:10" ht="30">
      <c r="B15" s="22" t="s">
        <v>36</v>
      </c>
      <c r="C15" s="12" t="s">
        <v>37</v>
      </c>
      <c r="D15" s="12" t="s">
        <v>38</v>
      </c>
      <c r="E15" s="10" t="s">
        <v>16</v>
      </c>
      <c r="F15" s="10" t="s">
        <v>28</v>
      </c>
      <c r="G15" s="10" t="s">
        <v>18</v>
      </c>
      <c r="H15" s="19" t="s">
        <v>39</v>
      </c>
      <c r="I15" s="19" t="s">
        <v>40</v>
      </c>
      <c r="J15" s="19" t="str">
        <f t="shared" ref="J15:J25" si="0">CONCATENATE($J$14,"/",B15)</f>
        <v>/investmentResponse/data/investment/investmentType</v>
      </c>
    </row>
    <row r="16" spans="2:10">
      <c r="B16" s="22" t="s">
        <v>41</v>
      </c>
      <c r="C16" s="12" t="s">
        <v>42</v>
      </c>
      <c r="D16" s="12" t="s">
        <v>43</v>
      </c>
      <c r="E16" s="10" t="s">
        <v>16</v>
      </c>
      <c r="F16" s="10" t="s">
        <v>28</v>
      </c>
      <c r="G16" s="10" t="s">
        <v>18</v>
      </c>
      <c r="H16" s="19" t="s">
        <v>44</v>
      </c>
      <c r="I16" s="19" t="s">
        <v>45</v>
      </c>
      <c r="J16" s="19" t="str">
        <f t="shared" si="0"/>
        <v>/investmentResponse/data/investment/rutClient</v>
      </c>
    </row>
    <row r="17" spans="2:10">
      <c r="B17" s="22" t="s">
        <v>46</v>
      </c>
      <c r="C17" s="12" t="s">
        <v>47</v>
      </c>
      <c r="D17" s="12" t="s">
        <v>48</v>
      </c>
      <c r="E17" s="10" t="s">
        <v>16</v>
      </c>
      <c r="F17" s="10" t="s">
        <v>28</v>
      </c>
      <c r="G17" s="10" t="s">
        <v>18</v>
      </c>
      <c r="H17" s="19" t="s">
        <v>49</v>
      </c>
      <c r="I17" s="19" t="s">
        <v>50</v>
      </c>
      <c r="J17" s="19" t="str">
        <f t="shared" si="0"/>
        <v>/investmentResponse/data/investment/productId</v>
      </c>
    </row>
    <row r="18" spans="2:10" ht="30">
      <c r="B18" s="22" t="s">
        <v>51</v>
      </c>
      <c r="C18" s="12" t="s">
        <v>52</v>
      </c>
      <c r="D18" s="12" t="s">
        <v>48</v>
      </c>
      <c r="E18" s="10" t="s">
        <v>16</v>
      </c>
      <c r="F18" s="10" t="s">
        <v>28</v>
      </c>
      <c r="G18" s="10" t="s">
        <v>18</v>
      </c>
      <c r="H18" s="19" t="s">
        <v>53</v>
      </c>
      <c r="I18" s="19" t="s">
        <v>54</v>
      </c>
      <c r="J18" s="19" t="str">
        <f t="shared" si="0"/>
        <v>/investmentResponse/data/investment/productOwner</v>
      </c>
    </row>
    <row r="19" spans="2:10" ht="30">
      <c r="B19" s="22" t="s">
        <v>55</v>
      </c>
      <c r="C19" s="12" t="s">
        <v>56</v>
      </c>
      <c r="D19" s="12" t="s">
        <v>57</v>
      </c>
      <c r="E19" s="10" t="s">
        <v>16</v>
      </c>
      <c r="F19" s="10" t="s">
        <v>28</v>
      </c>
      <c r="G19" s="10" t="s">
        <v>18</v>
      </c>
      <c r="H19" s="19" t="s">
        <v>58</v>
      </c>
      <c r="I19" s="19" t="s">
        <v>59</v>
      </c>
      <c r="J19" s="19" t="str">
        <f t="shared" si="0"/>
        <v>/investmentResponse/data/investment/financialProductType</v>
      </c>
    </row>
    <row r="20" spans="2:10">
      <c r="B20" s="22" t="s">
        <v>60</v>
      </c>
      <c r="C20" s="23" t="s">
        <v>61</v>
      </c>
      <c r="D20" s="23" t="s">
        <v>62</v>
      </c>
      <c r="E20" s="10" t="s">
        <v>16</v>
      </c>
      <c r="F20" s="10" t="s">
        <v>28</v>
      </c>
      <c r="G20" s="10" t="s">
        <v>18</v>
      </c>
      <c r="H20" s="19" t="s">
        <v>63</v>
      </c>
      <c r="I20" s="19" t="s">
        <v>64</v>
      </c>
      <c r="J20" s="19" t="str">
        <f t="shared" si="0"/>
        <v>/investmentResponse/data/investment/commercialCategory</v>
      </c>
    </row>
    <row r="21" spans="2:10">
      <c r="B21" s="22" t="s">
        <v>65</v>
      </c>
      <c r="C21" s="19" t="s">
        <v>66</v>
      </c>
      <c r="D21" s="19" t="s">
        <v>67</v>
      </c>
      <c r="E21" s="10" t="s">
        <v>68</v>
      </c>
      <c r="F21" s="10" t="s">
        <v>17</v>
      </c>
      <c r="G21" s="10" t="s">
        <v>69</v>
      </c>
      <c r="H21" s="19" t="s">
        <v>70</v>
      </c>
      <c r="I21" s="19" t="s">
        <v>71</v>
      </c>
      <c r="J21" s="19" t="str">
        <f t="shared" si="0"/>
        <v>/investmentResponse/data/investment/coverageStartDate</v>
      </c>
    </row>
    <row r="22" spans="2:10">
      <c r="B22" s="22" t="s">
        <v>72</v>
      </c>
      <c r="C22" s="19" t="s">
        <v>73</v>
      </c>
      <c r="D22" s="19" t="s">
        <v>67</v>
      </c>
      <c r="E22" s="10" t="s">
        <v>68</v>
      </c>
      <c r="F22" s="10" t="s">
        <v>17</v>
      </c>
      <c r="G22" s="10" t="s">
        <v>69</v>
      </c>
      <c r="H22" s="19" t="s">
        <v>74</v>
      </c>
      <c r="I22" s="19" t="s">
        <v>75</v>
      </c>
      <c r="J22" s="19" t="str">
        <f t="shared" si="0"/>
        <v>/investmentResponse/data/investment/coverageEndDate</v>
      </c>
    </row>
    <row r="23" spans="2:10">
      <c r="B23" s="22" t="s">
        <v>76</v>
      </c>
      <c r="C23" s="19" t="s">
        <v>77</v>
      </c>
      <c r="D23" s="19" t="s">
        <v>78</v>
      </c>
      <c r="E23" s="10" t="s">
        <v>79</v>
      </c>
      <c r="F23" s="10" t="s">
        <v>17</v>
      </c>
      <c r="G23" s="10" t="s">
        <v>69</v>
      </c>
      <c r="H23" s="19">
        <v>10000000</v>
      </c>
      <c r="I23" s="19" t="s">
        <v>80</v>
      </c>
      <c r="J23" s="19" t="str">
        <f t="shared" si="0"/>
        <v>/investmentResponse/data/investment/insuredAmount</v>
      </c>
    </row>
    <row r="24" spans="2:10">
      <c r="B24" s="22" t="s">
        <v>81</v>
      </c>
      <c r="C24" s="19" t="s">
        <v>82</v>
      </c>
      <c r="D24" s="19" t="s">
        <v>83</v>
      </c>
      <c r="E24" s="10" t="s">
        <v>16</v>
      </c>
      <c r="F24" s="10" t="s">
        <v>17</v>
      </c>
      <c r="G24" s="10" t="s">
        <v>69</v>
      </c>
      <c r="H24" s="19" t="s">
        <v>84</v>
      </c>
      <c r="I24" s="19" t="s">
        <v>85</v>
      </c>
      <c r="J24" s="19" t="str">
        <f t="shared" si="0"/>
        <v>/investmentResponse/data/investment/insuredCurrency</v>
      </c>
    </row>
    <row r="25" spans="2:10" ht="30">
      <c r="B25" s="22" t="s">
        <v>86</v>
      </c>
      <c r="C25" s="19" t="s">
        <v>87</v>
      </c>
      <c r="D25" s="19" t="s">
        <v>26</v>
      </c>
      <c r="E25" s="10" t="s">
        <v>27</v>
      </c>
      <c r="F25" s="10" t="s">
        <v>88</v>
      </c>
      <c r="G25" s="10" t="s">
        <v>89</v>
      </c>
      <c r="H25" s="19"/>
      <c r="I25" s="19" t="s">
        <v>90</v>
      </c>
      <c r="J25" s="19" t="str">
        <f t="shared" si="0"/>
        <v>/investmentResponse/data/investment/instrumentData</v>
      </c>
    </row>
    <row r="26" spans="2:10">
      <c r="B26" s="24" t="s">
        <v>91</v>
      </c>
      <c r="C26" s="25" t="s">
        <v>92</v>
      </c>
      <c r="D26" s="12" t="s">
        <v>48</v>
      </c>
      <c r="E26" s="26" t="s">
        <v>16</v>
      </c>
      <c r="F26" s="26" t="s">
        <v>17</v>
      </c>
      <c r="G26" s="26" t="s">
        <v>69</v>
      </c>
      <c r="H26" s="25" t="s">
        <v>93</v>
      </c>
      <c r="I26" s="25"/>
      <c r="J26" s="19" t="str">
        <f t="shared" ref="J26:J35" si="1">CONCATENATE($J$25,"/",B26)</f>
        <v>/investmentResponse/data/investment/instrumentData/serialCode</v>
      </c>
    </row>
    <row r="27" spans="2:10">
      <c r="B27" s="27" t="s">
        <v>94</v>
      </c>
      <c r="C27" s="19" t="s">
        <v>95</v>
      </c>
      <c r="D27" s="19" t="s">
        <v>96</v>
      </c>
      <c r="E27" s="10" t="s">
        <v>16</v>
      </c>
      <c r="F27" s="10" t="s">
        <v>17</v>
      </c>
      <c r="G27" s="10" t="s">
        <v>69</v>
      </c>
      <c r="H27" s="19" t="s">
        <v>97</v>
      </c>
      <c r="I27" s="19" t="s">
        <v>98</v>
      </c>
      <c r="J27" s="19" t="str">
        <f t="shared" si="1"/>
        <v>/investmentResponse/data/investment/instrumentData/depositTermType</v>
      </c>
    </row>
    <row r="28" spans="2:10">
      <c r="B28" s="27" t="s">
        <v>99</v>
      </c>
      <c r="C28" s="19" t="s">
        <v>100</v>
      </c>
      <c r="D28" s="19" t="s">
        <v>78</v>
      </c>
      <c r="E28" s="10" t="s">
        <v>79</v>
      </c>
      <c r="F28" s="10" t="s">
        <v>17</v>
      </c>
      <c r="G28" s="10" t="s">
        <v>69</v>
      </c>
      <c r="H28" s="19">
        <v>1500000</v>
      </c>
      <c r="I28" s="19" t="s">
        <v>101</v>
      </c>
      <c r="J28" s="19" t="str">
        <f t="shared" si="1"/>
        <v>/investmentResponse/data/investment/instrumentData/stockEndOfMonth</v>
      </c>
    </row>
    <row r="29" spans="2:10">
      <c r="B29" s="27" t="s">
        <v>102</v>
      </c>
      <c r="C29" s="19" t="s">
        <v>103</v>
      </c>
      <c r="D29" s="19" t="s">
        <v>104</v>
      </c>
      <c r="E29" s="10" t="s">
        <v>16</v>
      </c>
      <c r="F29" s="10" t="s">
        <v>17</v>
      </c>
      <c r="G29" s="10" t="s">
        <v>69</v>
      </c>
      <c r="H29" s="19" t="s">
        <v>105</v>
      </c>
      <c r="I29" s="19" t="s">
        <v>106</v>
      </c>
      <c r="J29" s="19" t="str">
        <f t="shared" si="1"/>
        <v>/investmentResponse/data/investment/instrumentData/depositTermDuration</v>
      </c>
    </row>
    <row r="30" spans="2:10">
      <c r="B30" s="27" t="s">
        <v>107</v>
      </c>
      <c r="C30" s="19" t="s">
        <v>108</v>
      </c>
      <c r="D30" s="19" t="s">
        <v>104</v>
      </c>
      <c r="E30" s="10" t="s">
        <v>16</v>
      </c>
      <c r="F30" s="10" t="s">
        <v>17</v>
      </c>
      <c r="G30" s="10" t="s">
        <v>69</v>
      </c>
      <c r="H30" s="19" t="s">
        <v>109</v>
      </c>
      <c r="I30" s="19" t="s">
        <v>110</v>
      </c>
      <c r="J30" s="19" t="str">
        <f t="shared" si="1"/>
        <v>/investmentResponse/data/investment/instrumentData/depositRemainingTerm</v>
      </c>
    </row>
    <row r="31" spans="2:10" ht="30">
      <c r="B31" s="27" t="s">
        <v>111</v>
      </c>
      <c r="C31" s="19" t="s">
        <v>112</v>
      </c>
      <c r="D31" s="19" t="s">
        <v>113</v>
      </c>
      <c r="E31" s="10" t="s">
        <v>79</v>
      </c>
      <c r="F31" s="10" t="s">
        <v>17</v>
      </c>
      <c r="G31" s="10" t="s">
        <v>69</v>
      </c>
      <c r="H31" s="19" t="s">
        <v>114</v>
      </c>
      <c r="I31" s="19" t="s">
        <v>115</v>
      </c>
      <c r="J31" s="19" t="str">
        <f t="shared" si="1"/>
        <v>/investmentResponse/data/investment/instrumentData/annualEffectiveInterestRate</v>
      </c>
    </row>
    <row r="32" spans="2:10">
      <c r="B32" s="27" t="s">
        <v>116</v>
      </c>
      <c r="C32" s="19" t="s">
        <v>117</v>
      </c>
      <c r="D32" s="19" t="s">
        <v>118</v>
      </c>
      <c r="E32" s="10" t="s">
        <v>16</v>
      </c>
      <c r="F32" s="10" t="s">
        <v>17</v>
      </c>
      <c r="G32" s="10" t="s">
        <v>69</v>
      </c>
      <c r="H32" s="19" t="s">
        <v>119</v>
      </c>
      <c r="I32" s="19" t="s">
        <v>120</v>
      </c>
      <c r="J32" s="19" t="str">
        <f t="shared" si="1"/>
        <v>/investmentResponse/data/investment/instrumentData/fundSeries</v>
      </c>
    </row>
    <row r="33" spans="1:10">
      <c r="B33" s="27" t="s">
        <v>121</v>
      </c>
      <c r="C33" s="19" t="s">
        <v>122</v>
      </c>
      <c r="D33" s="19" t="s">
        <v>48</v>
      </c>
      <c r="E33" s="10" t="s">
        <v>16</v>
      </c>
      <c r="F33" s="10" t="s">
        <v>17</v>
      </c>
      <c r="G33" s="10" t="s">
        <v>69</v>
      </c>
      <c r="H33" s="19" t="s">
        <v>123</v>
      </c>
      <c r="I33" s="19" t="s">
        <v>124</v>
      </c>
      <c r="J33" s="19" t="str">
        <f t="shared" si="1"/>
        <v>/investmentResponse/data/investment/instrumentData/mnemonic</v>
      </c>
    </row>
    <row r="34" spans="1:10">
      <c r="B34" s="27" t="s">
        <v>125</v>
      </c>
      <c r="C34" s="19" t="s">
        <v>126</v>
      </c>
      <c r="D34" s="19" t="s">
        <v>78</v>
      </c>
      <c r="E34" s="10" t="s">
        <v>79</v>
      </c>
      <c r="F34" s="10" t="s">
        <v>17</v>
      </c>
      <c r="G34" s="10" t="s">
        <v>69</v>
      </c>
      <c r="H34" s="19">
        <v>3000000</v>
      </c>
      <c r="I34" s="19" t="s">
        <v>127</v>
      </c>
      <c r="J34" s="19" t="str">
        <f t="shared" si="1"/>
        <v>/investmentResponse/data/investment/instrumentData/stockInvestment</v>
      </c>
    </row>
    <row r="35" spans="1:10" ht="30">
      <c r="A35" s="28"/>
      <c r="B35" s="27" t="s">
        <v>128</v>
      </c>
      <c r="C35" s="19" t="s">
        <v>129</v>
      </c>
      <c r="D35" s="19" t="s">
        <v>130</v>
      </c>
      <c r="E35" s="10" t="s">
        <v>16</v>
      </c>
      <c r="F35" s="10" t="s">
        <v>17</v>
      </c>
      <c r="G35" s="10" t="s">
        <v>69</v>
      </c>
      <c r="H35" s="19" t="s">
        <v>131</v>
      </c>
      <c r="I35" s="19" t="s">
        <v>132</v>
      </c>
      <c r="J35" s="19" t="str">
        <f t="shared" si="1"/>
        <v>/investmentResponse/data/investment/instrumentData/saleType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EDBC4690-DC1D-48D3-AB3A-7D5674D75A6C}"/>
</file>

<file path=customXml/itemProps2.xml><?xml version="1.0" encoding="utf-8"?>
<ds:datastoreItem xmlns:ds="http://schemas.openxmlformats.org/officeDocument/2006/customXml" ds:itemID="{1ACA19C9-E114-4D82-A626-D054B8824FF8}"/>
</file>

<file path=customXml/itemProps3.xml><?xml version="1.0" encoding="utf-8"?>
<ds:datastoreItem xmlns:ds="http://schemas.openxmlformats.org/officeDocument/2006/customXml" ds:itemID="{20BDF649-F486-4D0B-A86D-D7A025083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investments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2025-07-14T17:37:01Z</dcterms:created>
  <dcterms:modified xsi:type="dcterms:W3CDTF">2025-07-14T17:37:59Z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