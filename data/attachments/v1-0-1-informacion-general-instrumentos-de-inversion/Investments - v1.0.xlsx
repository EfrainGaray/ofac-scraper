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ra365.sharepoint.com/sites/Grp_T_Open_Finance_Sandbox_CMF/Documentos compartidos/General/3. Ejecución del proyecto/1. Diseño de APIs/12. Instrumentos de ahorro e Inversión/01. Investments/"/>
    </mc:Choice>
  </mc:AlternateContent>
  <xr:revisionPtr revIDLastSave="0" documentId="8_{DBCE3477-5F6C-4435-9507-BC86E650604D}" xr6:coauthVersionLast="47" xr6:coauthVersionMax="47" xr10:uidLastSave="{00000000-0000-0000-0000-000000000000}"/>
  <bookViews>
    <workbookView xWindow="-120" yWindow="-120" windowWidth="38640" windowHeight="15720" xr2:uid="{49520461-B33B-482B-9E15-DAF581658217}"/>
  </bookViews>
  <sheets>
    <sheet name="invest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J14" i="1" s="1"/>
  <c r="J15" i="1" s="1"/>
  <c r="J24" i="1" l="1"/>
  <c r="J23" i="1"/>
  <c r="J22" i="1"/>
  <c r="J21" i="1"/>
  <c r="J20" i="1"/>
  <c r="J19" i="1"/>
  <c r="J18" i="1"/>
  <c r="J17" i="1"/>
  <c r="J16" i="1"/>
  <c r="J26" i="1"/>
  <c r="J25" i="1"/>
  <c r="J36" i="1" l="1"/>
  <c r="J32" i="1"/>
  <c r="J31" i="1"/>
  <c r="J30" i="1"/>
  <c r="J29" i="1"/>
  <c r="J28" i="1"/>
  <c r="J27" i="1"/>
  <c r="J35" i="1"/>
  <c r="J34" i="1"/>
  <c r="J33" i="1"/>
</calcChain>
</file>

<file path=xl/sharedStrings.xml><?xml version="1.0" encoding="utf-8"?>
<sst xmlns="http://schemas.openxmlformats.org/spreadsheetml/2006/main" count="221" uniqueCount="138">
  <si>
    <t>API:</t>
  </si>
  <si>
    <t>Recurso: GET</t>
  </si>
  <si>
    <t xml:space="preserve"> /investments/v1/investments</t>
  </si>
  <si>
    <t>Request:</t>
  </si>
  <si>
    <t>Field Name</t>
  </si>
  <si>
    <t>Glosa FieldName</t>
  </si>
  <si>
    <t>Type Request</t>
  </si>
  <si>
    <t>ISO20022 Type</t>
  </si>
  <si>
    <t>JSON Data Type</t>
  </si>
  <si>
    <t>Cardinalidad</t>
  </si>
  <si>
    <t>Mandatory</t>
  </si>
  <si>
    <t>Ejemplo</t>
  </si>
  <si>
    <t>Observaciones</t>
  </si>
  <si>
    <t>page</t>
  </si>
  <si>
    <t>Número de página</t>
  </si>
  <si>
    <t>Query Param</t>
  </si>
  <si>
    <t>Max5NumericText</t>
  </si>
  <si>
    <t>number (int)</t>
  </si>
  <si>
    <t>[0..1]</t>
  </si>
  <si>
    <t>No</t>
  </si>
  <si>
    <t>Para paginación, indica la página que se desea consultar.</t>
  </si>
  <si>
    <t>pageSize</t>
  </si>
  <si>
    <t>Tamaño de página</t>
  </si>
  <si>
    <t>Para paginación, indica la cantidad de cuentas por página.</t>
  </si>
  <si>
    <t>Response:</t>
  </si>
  <si>
    <t>Name</t>
  </si>
  <si>
    <t>Glosa Field Name</t>
  </si>
  <si>
    <t>Path</t>
  </si>
  <si>
    <t>investmentsResponse</t>
  </si>
  <si>
    <t>Objeto principal</t>
  </si>
  <si>
    <t>-</t>
  </si>
  <si>
    <t>object</t>
  </si>
  <si>
    <t>[1..1]</t>
  </si>
  <si>
    <t>Sí</t>
  </si>
  <si>
    <t>Raíz de la respuesta que contiene los datos para GET /investments.</t>
  </si>
  <si>
    <t>data</t>
  </si>
  <si>
    <t>investments</t>
  </si>
  <si>
    <t>Lista de inversiones</t>
  </si>
  <si>
    <t>Array&lt;InvestmentItem&gt;</t>
  </si>
  <si>
    <t>array&lt;object&gt;</t>
  </si>
  <si>
    <t>[0..*]</t>
  </si>
  <si>
    <t>Contiene todos los productos de inversión del cliente (depósitos a plazo, fondos, APV).</t>
  </si>
  <si>
    <t>investmentType</t>
  </si>
  <si>
    <t>Tipo de instrumento</t>
  </si>
  <si>
    <t>InvestmentTypeCode</t>
  </si>
  <si>
    <t>string</t>
  </si>
  <si>
    <t>"TERM_DEPOSIT"</t>
  </si>
  <si>
    <t>Puede ser “TERM_DEPOSIT” (depósito a plazo), “FUND” (fondos mutuos/inversión), o “APV”.</t>
  </si>
  <si>
    <t>rutClient</t>
  </si>
  <si>
    <t>RUT del cliente</t>
  </si>
  <si>
    <t>RUTType</t>
  </si>
  <si>
    <t>"11111111-1"</t>
  </si>
  <si>
    <t>Aplica a todos los tipos. Formato NNNNNNNN-K.</t>
  </si>
  <si>
    <t>productId</t>
  </si>
  <si>
    <t>ID interno del producto</t>
  </si>
  <si>
    <t>Max40Text</t>
  </si>
  <si>
    <t>"INV12345"</t>
  </si>
  <si>
    <t>Identificador único del producto de inversión.</t>
  </si>
  <si>
    <t>productOwner</t>
  </si>
  <si>
    <t>Dueño del producto</t>
  </si>
  <si>
    <t>"Casa de valores de Chile"</t>
  </si>
  <si>
    <t>Nombre de la entidad que es la dueña del producto financiero</t>
  </si>
  <si>
    <t>financialProductType</t>
  </si>
  <si>
    <t>Tipo de producto financiero</t>
  </si>
  <si>
    <t>FinancialProductTypeCode</t>
  </si>
  <si>
    <t>"INVESTMENT"</t>
  </si>
  <si>
    <t>Indica que es un producto de inversión (puedes enumerar “TERM_DEPOSIT”, “FUND”, “APV”, etc., o usar un genérico “INVESTMENT”).</t>
  </si>
  <si>
    <t>commercialCategory</t>
  </si>
  <si>
    <t>Categoría comercial</t>
  </si>
  <si>
    <t>Max70Text</t>
  </si>
  <si>
    <t>"DEPOSITO_PLAZO"</t>
  </si>
  <si>
    <t>Ej. “DEPOSITO_PLAZO”, “FONDOS_MUTUOS”, “APV”.</t>
  </si>
  <si>
    <t>coverageStartDate</t>
  </si>
  <si>
    <t>Fecha de contratación</t>
  </si>
  <si>
    <t>ISODate</t>
  </si>
  <si>
    <t>string (date)</t>
  </si>
  <si>
    <t>"2025-01-15"</t>
  </si>
  <si>
    <t>Fecha en que se inicia la relación contractual de la inversión.</t>
  </si>
  <si>
    <t>coverageEndDate</t>
  </si>
  <si>
    <t>Fecha de vigencia fin</t>
  </si>
  <si>
    <t>"2026-01-15"</t>
  </si>
  <si>
    <t>Fecha en que finaliza el plazo/vigencia (si aplica).</t>
  </si>
  <si>
    <t>insuredAmount</t>
  </si>
  <si>
    <t>Monto invertido</t>
  </si>
  <si>
    <t>Amount</t>
  </si>
  <si>
    <t>number</t>
  </si>
  <si>
    <t>Puede verse como “stock” o capital invertido en cualquier instrumento.</t>
  </si>
  <si>
    <t>insuredCurrency</t>
  </si>
  <si>
    <t>Moneda del monto invertido</t>
  </si>
  <si>
    <t>ISO4217CurrencyCode</t>
  </si>
  <si>
    <t>"CLP"</t>
  </si>
  <si>
    <t>Aplica a todos los tipos.</t>
  </si>
  <si>
    <t>instrumentData</t>
  </si>
  <si>
    <t>Datos específicos del instrumento</t>
  </si>
  <si>
    <t>[1..1] (Detail)</t>
  </si>
  <si>
    <t>Sí (Detail)</t>
  </si>
  <si>
    <t>Subobjeto que depende de investmentType. Contendrá los campos específicos para Depósito a Plazo, Fondo, o APV.</t>
  </si>
  <si>
    <t>serialCode</t>
  </si>
  <si>
    <t>código de Serie</t>
  </si>
  <si>
    <t>depositTermType</t>
  </si>
  <si>
    <t>Tipo de plazo</t>
  </si>
  <si>
    <t>TermTypeCode</t>
  </si>
  <si>
    <t>"FIJO"</t>
  </si>
  <si>
    <t>Solo si investmentType = "TERM_DEPOSIT". Ej. “FIJO”, “RENOVABLE”.</t>
  </si>
  <si>
    <t>stockEndOfMonth</t>
  </si>
  <si>
    <t>Stock de inversión a fin de mes</t>
  </si>
  <si>
    <r>
      <t xml:space="preserve">Solo depósito a plazo (aunque podría usarse también en fondos). Valor consolidado al cierre del mes.
</t>
    </r>
    <r>
      <rPr>
        <b/>
        <sz val="11"/>
        <color theme="1"/>
        <rFont val="Aptos Narrow"/>
        <family val="2"/>
        <scheme val="minor"/>
      </rPr>
      <t>Comentario Cristian</t>
    </r>
    <r>
      <rPr>
        <sz val="11"/>
        <color theme="1"/>
        <rFont val="Aptos Narrow"/>
        <family val="2"/>
        <scheme val="minor"/>
      </rPr>
      <t>: Este campo aplica a todos los instrumentos se podria dejar independiente del subtipo</t>
    </r>
  </si>
  <si>
    <t>depositTermDuration</t>
  </si>
  <si>
    <t>Plazo del depósito (días o meses)</t>
  </si>
  <si>
    <t>DurationType</t>
  </si>
  <si>
    <t>"30 días"</t>
  </si>
  <si>
    <t>depositRemainingTerm</t>
  </si>
  <si>
    <t>Plazo remanente</t>
  </si>
  <si>
    <t>"15 días"</t>
  </si>
  <si>
    <t>annualEffectiveInterestRate</t>
  </si>
  <si>
    <t>Tasa de interés efectiva anualizada</t>
  </si>
  <si>
    <t>Rate</t>
  </si>
  <si>
    <t>3.5</t>
  </si>
  <si>
    <t>fundSeries</t>
  </si>
  <si>
    <t>Serie</t>
  </si>
  <si>
    <t>FundSeriesCode</t>
  </si>
  <si>
    <t>"SERIE A"</t>
  </si>
  <si>
    <t>Solo si investmentType = "FUND". Indica la serie a la que pertenece la cuota del fondo.</t>
  </si>
  <si>
    <t>mnemonic</t>
  </si>
  <si>
    <t>Nemotécnico</t>
  </si>
  <si>
    <t>"FNDMUTABC"</t>
  </si>
  <si>
    <t>Abreviatura / nombre corto del fondo.</t>
  </si>
  <si>
    <t>stockInvestment</t>
  </si>
  <si>
    <t>Stock de inversión APV</t>
  </si>
  <si>
    <t>Valor acumulado en la cuenta APV. Solo para investmentType = "APV".</t>
  </si>
  <si>
    <t>saleType</t>
  </si>
  <si>
    <t>Tipo de venta</t>
  </si>
  <si>
    <t>SaleTypeCode</t>
  </si>
  <si>
    <t>"ONLINE"</t>
  </si>
  <si>
    <t>Campo extra: Indica cómo se adquirió/gestionó la APV (online, telemarketing, etc.).</t>
  </si>
  <si>
    <t>Solo si investmentType = "TERM_DEPOSIT". Duración original del depósito.</t>
  </si>
  <si>
    <t>Solo si investmentType = "TERM_DEPOSIT". Tiempo que falta para el vencimiento.</t>
  </si>
  <si>
    <t>Solo si investmentType = "TERM_DEPOSIT". Expresado en %. “3.5” =&gt; 3.5%.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</si>
</sst>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1"/>
      <color theme="8" tint="-0.499984740745262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14" fontId="5" fillId="0" borderId="0" applyFill="0" applyBorder="0">
      <alignment horizontal="center" vertical="center"/>
    </xf>
  </cellStyleXfs>
  <cellXfs count="28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1" applyFont="1" applyFill="1" applyAlignment="1">
      <alignment horizontal="left" vertical="center" indent="1"/>
    </xf>
    <xf numFmtId="0" fontId="4" fillId="0" borderId="0" xfId="1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3"/>
    </xf>
    <xf numFmtId="0" fontId="3" fillId="3" borderId="1" xfId="0" applyFont="1" applyFill="1" applyBorder="1" applyAlignment="1">
      <alignment horizontal="left" vertical="center" wrapText="1" indent="4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4"/>
    </xf>
    <xf numFmtId="0" fontId="6" fillId="0" borderId="1" xfId="0" applyFont="1" applyBorder="1" applyAlignment="1">
      <alignment horizontal="left" vertical="center" wrapText="1"/>
    </xf>
  </cellXfs>
  <cellStyles count="3">
    <cellStyle name="Fecha" xfId="2" xr:uid="{1D6E44B1-F25D-4CBF-B05F-6E473754EA5F}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371459</xdr:colOff>
      <xdr:row>0</xdr:row>
      <xdr:rowOff>0</xdr:rowOff>
    </xdr:from>
    <xdr:to>
      <xdr:col>8</xdr:col>
      <xdr:colOff>748</xdr:colOff>
      <xdr:row>1</xdr:row>
      <xdr:rowOff>98312</xdr:rowOff>
    </xdr:to>
    <xdr:pic>
      <xdr:nvPicPr>
        <xdr:cNvPr id="2" name="Picture 4" descr="Relaciones interinstitucionales | MINTUR">
          <a:extLst>
            <a:ext uri="{FF2B5EF4-FFF2-40B4-BE49-F238E27FC236}">
              <a16:creationId xmlns:a16="http://schemas.microsoft.com/office/drawing/2014/main" id="{A75A72F5-F949-4CDE-9C97-6829ED90E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68034" y="0"/>
          <a:ext cx="1924814" cy="993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163794</xdr:rowOff>
    </xdr:from>
    <xdr:to>
      <xdr:col>1</xdr:col>
      <xdr:colOff>2379381</xdr:colOff>
      <xdr:row>0</xdr:row>
      <xdr:rowOff>572333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A309EF-843C-4043-BB06-6EF5116B1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63794"/>
          <a:ext cx="2379381" cy="408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D5613-0154-44E6-9F31-BD760933ED24}">
  <dimension ref="B1:L36"/>
  <sheetViews>
    <sheetView showGridLines="0" tabSelected="1" zoomScale="85" zoomScaleNormal="85" workbookViewId="0">
      <selection activeCell="J21" sqref="J21"/>
    </sheetView>
  </sheetViews>
  <sheetFormatPr baseColWidth="10" defaultColWidth="11.28515625" defaultRowHeight="15"/>
  <cols>
    <col min="1" max="1" width="5.5703125" customWidth="1"/>
    <col min="2" max="2" width="43.5703125" customWidth="1"/>
    <col min="3" max="3" width="24" bestFit="1" customWidth="1"/>
    <col min="4" max="4" width="23.28515625" customWidth="1"/>
    <col min="5" max="5" width="19.7109375" bestFit="1" customWidth="1"/>
    <col min="6" max="6" width="15.42578125" style="2" customWidth="1"/>
    <col min="7" max="7" width="13.7109375" customWidth="1"/>
    <col min="8" max="8" width="20.7109375" bestFit="1" customWidth="1"/>
    <col min="9" max="10" width="69.7109375" customWidth="1"/>
  </cols>
  <sheetData>
    <row r="1" spans="2:10" ht="70.5" customHeight="1">
      <c r="B1" s="1"/>
    </row>
    <row r="2" spans="2:10" ht="21" customHeight="1">
      <c r="B2" s="3" t="s">
        <v>0</v>
      </c>
      <c r="C2" s="3" t="s">
        <v>1</v>
      </c>
      <c r="D2" s="4" t="s">
        <v>2</v>
      </c>
      <c r="G2" s="4"/>
      <c r="H2" s="4"/>
    </row>
    <row r="4" spans="2:10" ht="0.75" customHeight="1"/>
    <row r="5" spans="2:10" ht="21">
      <c r="B5" s="3" t="s">
        <v>3</v>
      </c>
    </row>
    <row r="6" spans="2:10">
      <c r="B6" s="5" t="s">
        <v>4</v>
      </c>
      <c r="C6" s="6" t="s">
        <v>5</v>
      </c>
      <c r="D6" s="6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5" t="s">
        <v>12</v>
      </c>
    </row>
    <row r="7" spans="2:10">
      <c r="B7" s="7" t="s">
        <v>13</v>
      </c>
      <c r="C7" s="8" t="s">
        <v>14</v>
      </c>
      <c r="D7" s="8" t="s">
        <v>15</v>
      </c>
      <c r="E7" s="9" t="s">
        <v>16</v>
      </c>
      <c r="F7" s="9" t="s">
        <v>17</v>
      </c>
      <c r="G7" s="10" t="s">
        <v>18</v>
      </c>
      <c r="H7" s="10" t="s">
        <v>19</v>
      </c>
      <c r="I7" s="11">
        <v>1</v>
      </c>
      <c r="J7" s="12" t="s">
        <v>20</v>
      </c>
    </row>
    <row r="8" spans="2:10">
      <c r="B8" s="7" t="s">
        <v>21</v>
      </c>
      <c r="C8" s="8" t="s">
        <v>22</v>
      </c>
      <c r="D8" s="8" t="s">
        <v>15</v>
      </c>
      <c r="E8" s="9" t="s">
        <v>16</v>
      </c>
      <c r="F8" s="9" t="s">
        <v>17</v>
      </c>
      <c r="G8" s="10" t="s">
        <v>18</v>
      </c>
      <c r="H8" s="10" t="s">
        <v>19</v>
      </c>
      <c r="I8" s="11">
        <v>20</v>
      </c>
      <c r="J8" s="12" t="s">
        <v>23</v>
      </c>
    </row>
    <row r="9" spans="2:10">
      <c r="B9" s="13"/>
      <c r="C9" s="14"/>
      <c r="D9" s="14"/>
      <c r="E9" s="15"/>
      <c r="F9" s="15"/>
      <c r="G9" s="16"/>
      <c r="H9" s="16"/>
      <c r="I9" s="17"/>
      <c r="J9" s="18"/>
    </row>
    <row r="10" spans="2:10">
      <c r="B10" s="13"/>
      <c r="C10" s="14"/>
      <c r="D10" s="14"/>
      <c r="E10" s="15"/>
      <c r="F10" s="15"/>
      <c r="G10" s="16"/>
      <c r="H10" s="16"/>
      <c r="I10" s="17"/>
      <c r="J10" s="18"/>
    </row>
    <row r="11" spans="2:10" ht="21">
      <c r="B11" s="3" t="s">
        <v>24</v>
      </c>
    </row>
    <row r="12" spans="2:10">
      <c r="B12" s="5" t="s">
        <v>25</v>
      </c>
      <c r="C12" s="6" t="s">
        <v>26</v>
      </c>
      <c r="D12" s="6" t="s">
        <v>7</v>
      </c>
      <c r="E12" s="5" t="s">
        <v>8</v>
      </c>
      <c r="F12" s="5" t="s">
        <v>9</v>
      </c>
      <c r="G12" s="5" t="s">
        <v>10</v>
      </c>
      <c r="H12" s="5" t="s">
        <v>11</v>
      </c>
      <c r="I12" s="5" t="s">
        <v>12</v>
      </c>
      <c r="J12" s="5" t="s">
        <v>27</v>
      </c>
    </row>
    <row r="13" spans="2:10">
      <c r="B13" s="7" t="s">
        <v>28</v>
      </c>
      <c r="C13" s="12" t="s">
        <v>29</v>
      </c>
      <c r="D13" s="12" t="s">
        <v>30</v>
      </c>
      <c r="E13" s="10" t="s">
        <v>31</v>
      </c>
      <c r="F13" s="10" t="s">
        <v>32</v>
      </c>
      <c r="G13" s="10" t="s">
        <v>33</v>
      </c>
      <c r="H13" s="19"/>
      <c r="I13" s="19" t="s">
        <v>34</v>
      </c>
      <c r="J13" s="11" t="str">
        <f>CONCATENATE("/",B13)</f>
        <v>/investmentsResponse</v>
      </c>
    </row>
    <row r="14" spans="2:10">
      <c r="B14" s="20" t="s">
        <v>35</v>
      </c>
      <c r="C14" s="12" t="s">
        <v>29</v>
      </c>
      <c r="D14" s="12" t="s">
        <v>30</v>
      </c>
      <c r="E14" s="10" t="s">
        <v>31</v>
      </c>
      <c r="F14" s="10" t="s">
        <v>32</v>
      </c>
      <c r="G14" s="10" t="s">
        <v>33</v>
      </c>
      <c r="H14" s="19"/>
      <c r="I14" s="19" t="s">
        <v>34</v>
      </c>
      <c r="J14" s="11" t="str">
        <f>CONCATENATE(J13,"/",B14)</f>
        <v>/investmentsResponse/data</v>
      </c>
    </row>
    <row r="15" spans="2:10" ht="30">
      <c r="B15" s="21" t="s">
        <v>36</v>
      </c>
      <c r="C15" s="12" t="s">
        <v>37</v>
      </c>
      <c r="D15" s="12" t="s">
        <v>38</v>
      </c>
      <c r="E15" s="10" t="s">
        <v>39</v>
      </c>
      <c r="F15" s="10" t="s">
        <v>40</v>
      </c>
      <c r="G15" s="10" t="s">
        <v>19</v>
      </c>
      <c r="H15" s="19"/>
      <c r="I15" s="19" t="s">
        <v>41</v>
      </c>
      <c r="J15" s="11" t="str">
        <f>CONCATENATE(J14,"/",B15)</f>
        <v>/investmentsResponse/data/investments</v>
      </c>
    </row>
    <row r="16" spans="2:10" ht="30">
      <c r="B16" s="22" t="s">
        <v>42</v>
      </c>
      <c r="C16" s="12" t="s">
        <v>43</v>
      </c>
      <c r="D16" s="12" t="s">
        <v>44</v>
      </c>
      <c r="E16" s="10" t="s">
        <v>45</v>
      </c>
      <c r="F16" s="10" t="s">
        <v>32</v>
      </c>
      <c r="G16" s="10" t="s">
        <v>33</v>
      </c>
      <c r="H16" s="19" t="s">
        <v>46</v>
      </c>
      <c r="I16" s="19" t="s">
        <v>47</v>
      </c>
      <c r="J16" s="11" t="str">
        <f>CONCATENATE(J15,"/",B16)</f>
        <v>/investmentsResponse/data/investments/investmentType</v>
      </c>
    </row>
    <row r="17" spans="2:10">
      <c r="B17" s="22" t="s">
        <v>48</v>
      </c>
      <c r="C17" s="12" t="s">
        <v>49</v>
      </c>
      <c r="D17" s="12" t="s">
        <v>50</v>
      </c>
      <c r="E17" s="10" t="s">
        <v>45</v>
      </c>
      <c r="F17" s="10" t="s">
        <v>32</v>
      </c>
      <c r="G17" s="10" t="s">
        <v>33</v>
      </c>
      <c r="H17" s="19" t="s">
        <v>51</v>
      </c>
      <c r="I17" s="19" t="s">
        <v>52</v>
      </c>
      <c r="J17" s="11" t="str">
        <f t="shared" ref="J17:J26" si="0">CONCATENATE($J$15,"/",B17)</f>
        <v>/investmentsResponse/data/investments/rutClient</v>
      </c>
    </row>
    <row r="18" spans="2:10" ht="30.75" customHeight="1">
      <c r="B18" s="22" t="s">
        <v>53</v>
      </c>
      <c r="C18" s="12" t="s">
        <v>54</v>
      </c>
      <c r="D18" s="12" t="s">
        <v>55</v>
      </c>
      <c r="E18" s="10" t="s">
        <v>45</v>
      </c>
      <c r="F18" s="10" t="s">
        <v>32</v>
      </c>
      <c r="G18" s="10" t="s">
        <v>33</v>
      </c>
      <c r="H18" s="19" t="s">
        <v>56</v>
      </c>
      <c r="I18" s="19" t="s">
        <v>57</v>
      </c>
      <c r="J18" s="11" t="str">
        <f t="shared" si="0"/>
        <v>/investmentsResponse/data/investments/productId</v>
      </c>
    </row>
    <row r="19" spans="2:10" ht="30.75" customHeight="1">
      <c r="B19" s="22" t="s">
        <v>58</v>
      </c>
      <c r="C19" s="12" t="s">
        <v>59</v>
      </c>
      <c r="D19" s="12" t="s">
        <v>55</v>
      </c>
      <c r="E19" s="10" t="s">
        <v>45</v>
      </c>
      <c r="F19" s="10" t="s">
        <v>32</v>
      </c>
      <c r="G19" s="10" t="s">
        <v>33</v>
      </c>
      <c r="H19" s="19" t="s">
        <v>60</v>
      </c>
      <c r="I19" s="19" t="s">
        <v>61</v>
      </c>
      <c r="J19" s="11" t="str">
        <f t="shared" si="0"/>
        <v>/investmentsResponse/data/investments/productOwner</v>
      </c>
    </row>
    <row r="20" spans="2:10" ht="30">
      <c r="B20" s="22" t="s">
        <v>62</v>
      </c>
      <c r="C20" s="12" t="s">
        <v>63</v>
      </c>
      <c r="D20" s="12" t="s">
        <v>64</v>
      </c>
      <c r="E20" s="10" t="s">
        <v>45</v>
      </c>
      <c r="F20" s="10" t="s">
        <v>32</v>
      </c>
      <c r="G20" s="10" t="s">
        <v>33</v>
      </c>
      <c r="H20" s="19" t="s">
        <v>65</v>
      </c>
      <c r="I20" s="19" t="s">
        <v>66</v>
      </c>
      <c r="J20" s="11" t="str">
        <f t="shared" si="0"/>
        <v>/investmentsResponse/data/investments/financialProductType</v>
      </c>
    </row>
    <row r="21" spans="2:10">
      <c r="B21" s="22" t="s">
        <v>67</v>
      </c>
      <c r="C21" s="19" t="s">
        <v>68</v>
      </c>
      <c r="D21" s="19" t="s">
        <v>69</v>
      </c>
      <c r="E21" s="10" t="s">
        <v>45</v>
      </c>
      <c r="F21" s="10" t="s">
        <v>32</v>
      </c>
      <c r="G21" s="10" t="s">
        <v>33</v>
      </c>
      <c r="H21" s="19" t="s">
        <v>70</v>
      </c>
      <c r="I21" s="19" t="s">
        <v>71</v>
      </c>
      <c r="J21" s="11" t="str">
        <f t="shared" si="0"/>
        <v>/investmentsResponse/data/investments/commercialCategory</v>
      </c>
    </row>
    <row r="22" spans="2:10" ht="39" customHeight="1">
      <c r="B22" s="22" t="s">
        <v>72</v>
      </c>
      <c r="C22" s="19" t="s">
        <v>73</v>
      </c>
      <c r="D22" s="19" t="s">
        <v>74</v>
      </c>
      <c r="E22" s="10" t="s">
        <v>75</v>
      </c>
      <c r="F22" s="10" t="s">
        <v>18</v>
      </c>
      <c r="G22" s="10" t="s">
        <v>19</v>
      </c>
      <c r="H22" s="19" t="s">
        <v>76</v>
      </c>
      <c r="I22" s="19" t="s">
        <v>77</v>
      </c>
      <c r="J22" s="11" t="str">
        <f t="shared" si="0"/>
        <v>/investmentsResponse/data/investments/coverageStartDate</v>
      </c>
    </row>
    <row r="23" spans="2:10">
      <c r="B23" s="22" t="s">
        <v>78</v>
      </c>
      <c r="C23" s="19" t="s">
        <v>79</v>
      </c>
      <c r="D23" s="19" t="s">
        <v>74</v>
      </c>
      <c r="E23" s="10" t="s">
        <v>75</v>
      </c>
      <c r="F23" s="10" t="s">
        <v>18</v>
      </c>
      <c r="G23" s="10" t="s">
        <v>19</v>
      </c>
      <c r="H23" s="19" t="s">
        <v>80</v>
      </c>
      <c r="I23" s="19" t="s">
        <v>81</v>
      </c>
      <c r="J23" s="11" t="str">
        <f t="shared" si="0"/>
        <v>/investmentsResponse/data/investments/coverageEndDate</v>
      </c>
    </row>
    <row r="24" spans="2:10">
      <c r="B24" s="22" t="s">
        <v>82</v>
      </c>
      <c r="C24" s="19" t="s">
        <v>83</v>
      </c>
      <c r="D24" s="19" t="s">
        <v>84</v>
      </c>
      <c r="E24" s="10" t="s">
        <v>85</v>
      </c>
      <c r="F24" s="10" t="s">
        <v>18</v>
      </c>
      <c r="G24" s="10" t="s">
        <v>19</v>
      </c>
      <c r="H24" s="19">
        <v>10000000</v>
      </c>
      <c r="I24" s="19" t="s">
        <v>86</v>
      </c>
      <c r="J24" s="11" t="str">
        <f t="shared" si="0"/>
        <v>/investmentsResponse/data/investments/insuredAmount</v>
      </c>
    </row>
    <row r="25" spans="2:10" ht="30">
      <c r="B25" s="22" t="s">
        <v>87</v>
      </c>
      <c r="C25" s="19" t="s">
        <v>88</v>
      </c>
      <c r="D25" s="19" t="s">
        <v>89</v>
      </c>
      <c r="E25" s="10" t="s">
        <v>45</v>
      </c>
      <c r="F25" s="10" t="s">
        <v>18</v>
      </c>
      <c r="G25" s="10" t="s">
        <v>19</v>
      </c>
      <c r="H25" s="19" t="s">
        <v>90</v>
      </c>
      <c r="I25" s="19" t="s">
        <v>91</v>
      </c>
      <c r="J25" s="11" t="str">
        <f t="shared" si="0"/>
        <v>/investmentsResponse/data/investments/insuredCurrency</v>
      </c>
    </row>
    <row r="26" spans="2:10" ht="30">
      <c r="B26" s="22" t="s">
        <v>92</v>
      </c>
      <c r="C26" s="19" t="s">
        <v>93</v>
      </c>
      <c r="D26" s="19" t="s">
        <v>30</v>
      </c>
      <c r="E26" s="10" t="s">
        <v>31</v>
      </c>
      <c r="F26" s="10" t="s">
        <v>94</v>
      </c>
      <c r="G26" s="10" t="s">
        <v>95</v>
      </c>
      <c r="H26" s="19"/>
      <c r="I26" s="19" t="s">
        <v>96</v>
      </c>
      <c r="J26" s="11" t="str">
        <f t="shared" si="0"/>
        <v>/investmentsResponse/data/investments/instrumentData</v>
      </c>
    </row>
    <row r="27" spans="2:10">
      <c r="B27" s="23" t="s">
        <v>97</v>
      </c>
      <c r="C27" s="24" t="s">
        <v>98</v>
      </c>
      <c r="D27" s="24"/>
      <c r="E27" s="25" t="s">
        <v>45</v>
      </c>
      <c r="F27" s="25" t="s">
        <v>18</v>
      </c>
      <c r="G27" s="25" t="s">
        <v>19</v>
      </c>
      <c r="H27" s="24"/>
      <c r="I27" s="24"/>
      <c r="J27" s="11" t="str">
        <f t="shared" ref="J27:J36" si="1">CONCATENATE($J$26,"/",B27)</f>
        <v>/investmentsResponse/data/investments/instrumentData/serialCode</v>
      </c>
    </row>
    <row r="28" spans="2:10">
      <c r="B28" s="26" t="s">
        <v>99</v>
      </c>
      <c r="C28" s="19" t="s">
        <v>100</v>
      </c>
      <c r="D28" s="19" t="s">
        <v>101</v>
      </c>
      <c r="E28" s="10" t="s">
        <v>45</v>
      </c>
      <c r="F28" s="10" t="s">
        <v>18</v>
      </c>
      <c r="G28" s="10" t="s">
        <v>19</v>
      </c>
      <c r="H28" s="19" t="s">
        <v>102</v>
      </c>
      <c r="I28" s="19" t="s">
        <v>103</v>
      </c>
      <c r="J28" s="11" t="str">
        <f t="shared" si="1"/>
        <v>/investmentsResponse/data/investments/instrumentData/depositTermType</v>
      </c>
    </row>
    <row r="29" spans="2:10" ht="60">
      <c r="B29" s="26" t="s">
        <v>104</v>
      </c>
      <c r="C29" s="19" t="s">
        <v>105</v>
      </c>
      <c r="D29" s="19" t="s">
        <v>84</v>
      </c>
      <c r="E29" s="10" t="s">
        <v>85</v>
      </c>
      <c r="F29" s="10" t="s">
        <v>18</v>
      </c>
      <c r="G29" s="10" t="s">
        <v>19</v>
      </c>
      <c r="H29" s="19">
        <v>1500000</v>
      </c>
      <c r="I29" s="19" t="s">
        <v>106</v>
      </c>
      <c r="J29" s="11" t="str">
        <f t="shared" si="1"/>
        <v>/investmentsResponse/data/investments/instrumentData/stockEndOfMonth</v>
      </c>
    </row>
    <row r="30" spans="2:10" ht="30">
      <c r="B30" s="26" t="s">
        <v>107</v>
      </c>
      <c r="C30" s="19" t="s">
        <v>108</v>
      </c>
      <c r="D30" s="19" t="s">
        <v>109</v>
      </c>
      <c r="E30" s="10" t="s">
        <v>45</v>
      </c>
      <c r="F30" s="10" t="s">
        <v>18</v>
      </c>
      <c r="G30" s="10" t="s">
        <v>19</v>
      </c>
      <c r="H30" s="19" t="s">
        <v>110</v>
      </c>
      <c r="I30" s="27" t="s">
        <v>135</v>
      </c>
      <c r="J30" s="11" t="str">
        <f t="shared" si="1"/>
        <v>/investmentsResponse/data/investments/instrumentData/depositTermDuration</v>
      </c>
    </row>
    <row r="31" spans="2:10" ht="30">
      <c r="B31" s="26" t="s">
        <v>111</v>
      </c>
      <c r="C31" s="19" t="s">
        <v>112</v>
      </c>
      <c r="D31" s="19" t="s">
        <v>109</v>
      </c>
      <c r="E31" s="10" t="s">
        <v>45</v>
      </c>
      <c r="F31" s="10" t="s">
        <v>18</v>
      </c>
      <c r="G31" s="10" t="s">
        <v>19</v>
      </c>
      <c r="H31" s="19" t="s">
        <v>113</v>
      </c>
      <c r="I31" s="27" t="s">
        <v>136</v>
      </c>
      <c r="J31" s="11" t="str">
        <f t="shared" si="1"/>
        <v>/investmentsResponse/data/investments/instrumentData/depositRemainingTerm</v>
      </c>
    </row>
    <row r="32" spans="2:10" ht="30">
      <c r="B32" s="26" t="s">
        <v>114</v>
      </c>
      <c r="C32" s="19" t="s">
        <v>115</v>
      </c>
      <c r="D32" s="19" t="s">
        <v>116</v>
      </c>
      <c r="E32" s="10" t="s">
        <v>85</v>
      </c>
      <c r="F32" s="10" t="s">
        <v>18</v>
      </c>
      <c r="G32" s="10" t="s">
        <v>19</v>
      </c>
      <c r="H32" s="19" t="s">
        <v>117</v>
      </c>
      <c r="I32" s="27" t="s">
        <v>137</v>
      </c>
      <c r="J32" s="11" t="str">
        <f t="shared" si="1"/>
        <v>/investmentsResponse/data/investments/instrumentData/annualEffectiveInterestRate</v>
      </c>
    </row>
    <row r="33" spans="2:10" ht="30">
      <c r="B33" s="26" t="s">
        <v>118</v>
      </c>
      <c r="C33" s="19" t="s">
        <v>119</v>
      </c>
      <c r="D33" s="19" t="s">
        <v>120</v>
      </c>
      <c r="E33" s="10" t="s">
        <v>45</v>
      </c>
      <c r="F33" s="10" t="s">
        <v>18</v>
      </c>
      <c r="G33" s="10" t="s">
        <v>19</v>
      </c>
      <c r="H33" s="19" t="s">
        <v>121</v>
      </c>
      <c r="I33" s="27" t="s">
        <v>122</v>
      </c>
      <c r="J33" s="11" t="str">
        <f t="shared" si="1"/>
        <v>/investmentsResponse/data/investments/instrumentData/fundSeries</v>
      </c>
    </row>
    <row r="34" spans="2:10">
      <c r="B34" s="26" t="s">
        <v>123</v>
      </c>
      <c r="C34" s="19" t="s">
        <v>124</v>
      </c>
      <c r="D34" s="19" t="s">
        <v>55</v>
      </c>
      <c r="E34" s="10" t="s">
        <v>45</v>
      </c>
      <c r="F34" s="10" t="s">
        <v>18</v>
      </c>
      <c r="G34" s="10" t="s">
        <v>19</v>
      </c>
      <c r="H34" s="19" t="s">
        <v>125</v>
      </c>
      <c r="I34" s="27" t="s">
        <v>126</v>
      </c>
      <c r="J34" s="11" t="str">
        <f t="shared" si="1"/>
        <v>/investmentsResponse/data/investments/instrumentData/mnemonic</v>
      </c>
    </row>
    <row r="35" spans="2:10">
      <c r="B35" s="26" t="s">
        <v>127</v>
      </c>
      <c r="C35" s="19" t="s">
        <v>128</v>
      </c>
      <c r="D35" s="19" t="s">
        <v>84</v>
      </c>
      <c r="E35" s="10" t="s">
        <v>85</v>
      </c>
      <c r="F35" s="10" t="s">
        <v>18</v>
      </c>
      <c r="G35" s="10" t="s">
        <v>19</v>
      </c>
      <c r="H35" s="19">
        <v>3000000</v>
      </c>
      <c r="I35" s="19" t="s">
        <v>129</v>
      </c>
      <c r="J35" s="11" t="str">
        <f t="shared" si="1"/>
        <v>/investmentsResponse/data/investments/instrumentData/stockInvestment</v>
      </c>
    </row>
    <row r="36" spans="2:10" ht="30">
      <c r="B36" s="26" t="s">
        <v>130</v>
      </c>
      <c r="C36" s="19" t="s">
        <v>131</v>
      </c>
      <c r="D36" s="19" t="s">
        <v>132</v>
      </c>
      <c r="E36" s="10" t="s">
        <v>45</v>
      </c>
      <c r="F36" s="10" t="s">
        <v>18</v>
      </c>
      <c r="G36" s="10" t="s">
        <v>19</v>
      </c>
      <c r="H36" s="19" t="s">
        <v>133</v>
      </c>
      <c r="I36" s="19" t="s">
        <v>134</v>
      </c>
      <c r="J36" s="11" t="str">
        <f t="shared" si="1"/>
        <v>/investmentsResponse/data/investments/instrumentData/saleType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fc2641-02eb-454a-b72e-466eabe080b9">
      <Terms xmlns="http://schemas.microsoft.com/office/infopath/2007/PartnerControls"/>
    </lcf76f155ced4ddcb4097134ff3c332f>
    <TaxCatchAll xmlns="a30e421e-ede3-43a3-a0a6-8952a07c65cd" xsi:nil="true"/>
  </documentManagement>
</p:properties>
</file>

<file path=customXml/itemProps1.xml><?xml version="1.0" encoding="utf-8"?>
<ds:datastoreItem xmlns:ds="http://schemas.openxmlformats.org/officeDocument/2006/customXml" ds:itemID="{723A31DF-1079-4A3C-9CB5-DAFE5144DE65}"/>
</file>

<file path=customXml/itemProps2.xml><?xml version="1.0" encoding="utf-8"?>
<ds:datastoreItem xmlns:ds="http://schemas.openxmlformats.org/officeDocument/2006/customXml" ds:itemID="{3A94691B-9504-4AA5-B32A-EBBFB547986F}"/>
</file>

<file path=customXml/itemProps3.xml><?xml version="1.0" encoding="utf-8"?>
<ds:datastoreItem xmlns:ds="http://schemas.openxmlformats.org/officeDocument/2006/customXml" ds:itemID="{0417BE4F-CBF8-46DE-AD7E-F240858FBF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investments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 Collaguazo, Jonathan Francisco</dc:creator>
  <cp:lastModifiedBy>Lema Collaguazo, Jonathan Francisco</cp:lastModifiedBy>
  <dcterms:created xsi:type="dcterms:W3CDTF">2025-07-14T17:32:28Z</dcterms:created>
  <dcterms:modified xsi:type="dcterms:W3CDTF">2025-07-14T17:36:42Z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0x010100F78068334524A945B0B7798448F619D7</vt:lpwstr>
  </property>
</Properties>
</file>