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12. Instrumentos de ahorro e Inversión/04. Transactions/"/>
    </mc:Choice>
  </mc:AlternateContent>
  <xr:revisionPtr revIDLastSave="2" documentId="8_{1587F576-C247-46C8-8741-E134E9A6DC19}" xr6:coauthVersionLast="47" xr6:coauthVersionMax="47" xr10:uidLastSave="{43BDFF57-5BDA-4518-A32D-B61F50781F83}"/>
  <bookViews>
    <workbookView xWindow="-120" yWindow="-120" windowWidth="38640" windowHeight="15720" xr2:uid="{7354B0EF-BF2D-4D91-AEDD-83CFF7C32F64}"/>
  </bookViews>
  <sheets>
    <sheet name="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4" i="1" s="1"/>
  <c r="J15" i="1" s="1"/>
  <c r="J25" i="1" l="1"/>
  <c r="J24" i="1"/>
  <c r="J20" i="1"/>
  <c r="J18" i="1"/>
  <c r="J16" i="1"/>
  <c r="J23" i="1"/>
  <c r="J21" i="1"/>
  <c r="J17" i="1"/>
  <c r="J22" i="1"/>
  <c r="J19" i="1"/>
</calcChain>
</file>

<file path=xl/sharedStrings.xml><?xml version="1.0" encoding="utf-8"?>
<sst xmlns="http://schemas.openxmlformats.org/spreadsheetml/2006/main" count="147" uniqueCount="95">
  <si>
    <t>API:</t>
  </si>
  <si>
    <t>Recurso: GET</t>
  </si>
  <si>
    <t xml:space="preserve"> /investments/v1/investments/{investmentId}/transactions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</si>
  <si>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</si>
  <si>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</si>
  <si>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</si>
  <si>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</si>
  <si>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</si>
  <si>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</si>
  <si>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</si>
  <si>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</si>
  <si>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</si>
  <si>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</si>
  <si>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</si>
  <si>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</si>
  <si>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</si>
  <si>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</si>
  <si>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</si>
  <si>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</si>
  <si>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No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</si>
  <si>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</si>
  <si>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</si>
  <si>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</si>
  <si>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</si>
  <si>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fromDate</t>
  </si>
  <si>
    <t>Fecha inicio de rango</t>
  </si>
  <si>
    <t>ISODate</t>
  </si>
  <si>
    <t>string (date)</t>
  </si>
  <si>
    <t>"2025-01-01"</t>
  </si>
  <si>
    <t>toDate</t>
  </si>
  <si>
    <t>Fecha fin de rango</t>
  </si>
  <si>
    <t>"2025-03-31"</t>
  </si>
  <si>
    <t>Response:</t>
  </si>
  <si>
    <t>Name</t>
  </si>
  <si>
    <t>Glosa Field Name</t>
  </si>
  <si>
    <t>Path</t>
  </si>
  <si>
    <t>transacitionsResponse</t>
  </si>
  <si>
    <t>-</t>
  </si>
  <si>
    <t>object</t>
  </si>
  <si>
    <t>[1..1]</t>
  </si>
  <si>
    <t>Sí</t>
  </si>
  <si>
    <t>data</t>
  </si>
  <si>
    <t>Objeto principal</t>
  </si>
  <si>
    <t>Response: Contenedor para la lista de transacciones devueltas por GET /investments/{investmentId}/transactions.</t>
  </si>
  <si>
    <t>transactions</t>
  </si>
  <si>
    <t>Historial de movimientos</t>
  </si>
  <si>
    <t>Array&lt;TxItem&gt;</t>
  </si>
  <si>
    <t>array&lt;object&gt;</t>
  </si>
  <si>
    <t>[0..*]</t>
  </si>
  <si>
    <t>Array con cada transacción. Puede usarse page, pageSize y metadatos (links, meta) para paginación.</t>
  </si>
  <si>
    <t>transactionId</t>
  </si>
  <si>
    <t>Identificador de la transacción</t>
  </si>
  <si>
    <t>Max40Text</t>
  </si>
  <si>
    <t>string</t>
  </si>
  <si>
    <t>"TXN12345"</t>
  </si>
  <si>
    <t>ID único de la operación.</t>
  </si>
  <si>
    <t>transactionDate</t>
  </si>
  <si>
    <t>Fecha/hora de la transacción</t>
  </si>
  <si>
    <t>ISODateTime</t>
  </si>
  <si>
    <t>string (date-time)</t>
  </si>
  <si>
    <t>"2025-02-10T10:00:00Z"</t>
  </si>
  <si>
    <t>Momento en que se registra o efectúa la operación.</t>
  </si>
  <si>
    <t>transactionType</t>
  </si>
  <si>
    <t>Tipo de la transacción</t>
  </si>
  <si>
    <t>InvestmentTxCode</t>
  </si>
  <si>
    <t>"DEPOSIT"</t>
  </si>
  <si>
    <t>description</t>
  </si>
  <si>
    <t>Descripción o narrativa del movimiento</t>
  </si>
  <si>
    <t>Max256Text</t>
  </si>
  <si>
    <t>"Renovación del depósito"</t>
  </si>
  <si>
    <t>Texto breve explicando la transacción.</t>
  </si>
  <si>
    <t>amount</t>
  </si>
  <si>
    <t>Monto de la operación</t>
  </si>
  <si>
    <t>Amount</t>
  </si>
  <si>
    <t>number</t>
  </si>
  <si>
    <t>Si la operación tiene valor monetario. Puede ser un abono o retiro (posiblemente negativo si es un retiro).</t>
  </si>
  <si>
    <t>currency</t>
  </si>
  <si>
    <t>Moneda de la operación</t>
  </si>
  <si>
    <t>ISO4217CurrencyCode</t>
  </si>
  <si>
    <t>"CLP"</t>
  </si>
  <si>
    <t>Moneda en la que se expresa amount.</t>
  </si>
  <si>
    <t>coverageBefore</t>
  </si>
  <si>
    <t>Cobertura / estado antes del movimiento</t>
  </si>
  <si>
    <t>CoverageObject</t>
  </si>
  <si>
    <t>Opcional: Si la transacción modificó algo como la cobertura, el stock o la tasa, se podría reflejar el valor previo.</t>
  </si>
  <si>
    <t>insuredAmount</t>
  </si>
  <si>
    <t>Valor previo del stock invertido</t>
  </si>
  <si>
    <t>Ej. Monto invertido antes del movimiento.</t>
  </si>
  <si>
    <t>coverageAfter</t>
  </si>
  <si>
    <t>Cobertura / estado después del movimiento</t>
  </si>
  <si>
    <t>Opcional: Valor posterior, si la transacción implica un cambio en la configuración (ej. APV con un nuevo saldo).</t>
  </si>
  <si>
    <t xml:space="preserve">insuredAmount </t>
  </si>
  <si>
    <t>Valor posterior del stock invertido</t>
  </si>
  <si>
    <t>Ej. Monto invertido tras el movimiento.</t>
  </si>
  <si>
    <t>Comentario Cristian: Esto deberia indicar que tipo aplica a cada tipo de instrumento. Por ejemplo "Si es deposito "DEPOSIT" o "Withdrawal", etc. Ej. “DEPOSIT”, “WITHDRAWAL”, “REINVESTMENT”, “CAPITALIZATION”, “FEE_CHARGE”,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</si>
</sst>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0" fillId="0" borderId="1" xfId="0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4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 indent="1"/>
    </xf>
  </cellXfs>
  <cellStyles count="3">
    <cellStyle name="Fecha" xfId="2" xr:uid="{ABB49472-46CD-469F-B8A1-CCE8FFD76AFF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371459</xdr:colOff>
      <xdr:row>0</xdr:row>
      <xdr:rowOff>0</xdr:rowOff>
    </xdr:from>
    <xdr:to>
      <xdr:col>7</xdr:col>
      <xdr:colOff>1333874</xdr:colOff>
      <xdr:row>1</xdr:row>
      <xdr:rowOff>98312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6F7B6A8D-D67E-4FC8-8F7A-5E3BE9D2E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584" y="0"/>
          <a:ext cx="1991115" cy="993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2</xdr:col>
      <xdr:colOff>18115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249AA5-32EC-4BFB-93F0-1A940266A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63794"/>
          <a:ext cx="2275540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3B8C-1327-4352-BD93-F47EB6B141B6}">
  <dimension ref="B1:L25"/>
  <sheetViews>
    <sheetView showGridLines="0" tabSelected="1" zoomScale="85" zoomScaleNormal="85" workbookViewId="0">
      <selection activeCell="M12" sqref="M12"/>
    </sheetView>
  </sheetViews>
  <sheetFormatPr baseColWidth="10" defaultColWidth="11.28515625" defaultRowHeight="15"/>
  <cols>
    <col min="1" max="1" width="6.7109375" customWidth="1"/>
    <col min="2" max="2" width="33.85546875" customWidth="1"/>
    <col min="3" max="3" width="36" customWidth="1"/>
    <col min="4" max="4" width="23.28515625" customWidth="1"/>
    <col min="5" max="5" width="19.7109375" bestFit="1" customWidth="1"/>
    <col min="6" max="6" width="17.5703125" style="2" customWidth="1"/>
    <col min="7" max="7" width="15.42578125" customWidth="1"/>
    <col min="8" max="8" width="24.28515625" customWidth="1"/>
    <col min="9" max="9" width="69.7109375" customWidth="1"/>
    <col min="10" max="10" width="60.85546875" customWidth="1"/>
  </cols>
  <sheetData>
    <row r="1" spans="2:10" ht="70.5" customHeight="1">
      <c r="B1" s="1"/>
    </row>
    <row r="2" spans="2:10" ht="21" customHeight="1">
      <c r="B2" s="3" t="s">
        <v>0</v>
      </c>
      <c r="C2" s="3" t="s">
        <v>1</v>
      </c>
      <c r="D2" s="4" t="s">
        <v>2</v>
      </c>
      <c r="G2" s="4"/>
      <c r="H2" s="4"/>
    </row>
    <row r="4" spans="2:10" ht="21">
      <c r="B4" s="3" t="s">
        <v>3</v>
      </c>
    </row>
    <row r="5" spans="2:10">
      <c r="B5" s="5" t="s">
        <v>4</v>
      </c>
      <c r="C5" s="6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spans="2:10">
      <c r="B6" s="7" t="s">
        <v>13</v>
      </c>
      <c r="C6" s="8" t="s">
        <v>14</v>
      </c>
      <c r="D6" s="8" t="s">
        <v>15</v>
      </c>
      <c r="E6" s="9" t="s">
        <v>16</v>
      </c>
      <c r="F6" s="9" t="s">
        <v>17</v>
      </c>
      <c r="G6" s="10" t="s">
        <v>18</v>
      </c>
      <c r="H6" s="10" t="s">
        <v>19</v>
      </c>
      <c r="I6" s="11">
        <v>1</v>
      </c>
      <c r="J6" s="12" t="s">
        <v>20</v>
      </c>
    </row>
    <row r="7" spans="2:10">
      <c r="B7" s="7" t="s">
        <v>21</v>
      </c>
      <c r="C7" s="8" t="s">
        <v>22</v>
      </c>
      <c r="D7" s="8" t="s">
        <v>15</v>
      </c>
      <c r="E7" s="9" t="s">
        <v>16</v>
      </c>
      <c r="F7" s="9" t="s">
        <v>17</v>
      </c>
      <c r="G7" s="10" t="s">
        <v>18</v>
      </c>
      <c r="H7" s="10" t="s">
        <v>19</v>
      </c>
      <c r="I7" s="11">
        <v>20</v>
      </c>
      <c r="J7" s="12" t="s">
        <v>23</v>
      </c>
    </row>
    <row r="8" spans="2:10">
      <c r="B8" s="7" t="s">
        <v>24</v>
      </c>
      <c r="C8" s="8" t="s">
        <v>25</v>
      </c>
      <c r="D8" s="8" t="s">
        <v>26</v>
      </c>
      <c r="E8" s="9" t="s">
        <v>27</v>
      </c>
      <c r="F8" s="9"/>
      <c r="G8" s="10" t="s">
        <v>18</v>
      </c>
      <c r="H8" s="10" t="s">
        <v>19</v>
      </c>
      <c r="I8" s="11" t="s">
        <v>28</v>
      </c>
      <c r="J8" s="12"/>
    </row>
    <row r="9" spans="2:10">
      <c r="B9" s="7" t="s">
        <v>29</v>
      </c>
      <c r="C9" s="8" t="s">
        <v>30</v>
      </c>
      <c r="D9" s="8" t="s">
        <v>26</v>
      </c>
      <c r="E9" s="9" t="s">
        <v>27</v>
      </c>
      <c r="F9" s="9"/>
      <c r="G9" s="10" t="s">
        <v>18</v>
      </c>
      <c r="H9" s="10" t="s">
        <v>19</v>
      </c>
      <c r="I9" s="11" t="s">
        <v>31</v>
      </c>
      <c r="J9" s="12"/>
    </row>
    <row r="10" spans="2:10">
      <c r="B10" s="13"/>
      <c r="C10" s="14"/>
      <c r="D10" s="14"/>
      <c r="E10" s="15"/>
      <c r="F10" s="15"/>
      <c r="G10" s="16"/>
      <c r="H10" s="16"/>
      <c r="I10" s="17"/>
      <c r="J10" s="18"/>
    </row>
    <row r="11" spans="2:10" ht="21">
      <c r="B11" s="3" t="s">
        <v>32</v>
      </c>
    </row>
    <row r="12" spans="2:10">
      <c r="B12" s="5" t="s">
        <v>33</v>
      </c>
      <c r="C12" s="6" t="s">
        <v>34</v>
      </c>
      <c r="D12" s="5" t="s">
        <v>7</v>
      </c>
      <c r="E12" s="5" t="s">
        <v>8</v>
      </c>
      <c r="F12" s="5" t="s">
        <v>9</v>
      </c>
      <c r="G12" s="5" t="s">
        <v>10</v>
      </c>
      <c r="H12" s="5" t="s">
        <v>11</v>
      </c>
      <c r="I12" s="5" t="s">
        <v>12</v>
      </c>
      <c r="J12" s="5" t="s">
        <v>35</v>
      </c>
    </row>
    <row r="13" spans="2:10">
      <c r="B13" s="7" t="s">
        <v>36</v>
      </c>
      <c r="C13" s="12"/>
      <c r="D13" s="10" t="s">
        <v>37</v>
      </c>
      <c r="E13" s="10" t="s">
        <v>38</v>
      </c>
      <c r="F13" s="10" t="s">
        <v>39</v>
      </c>
      <c r="G13" s="10" t="s">
        <v>40</v>
      </c>
      <c r="H13" s="12"/>
      <c r="I13" s="12"/>
      <c r="J13" s="19" t="str">
        <f>CONCATENATE("/",B13)</f>
        <v>/transacitionsResponse</v>
      </c>
    </row>
    <row r="14" spans="2:10" ht="30">
      <c r="B14" s="20" t="s">
        <v>41</v>
      </c>
      <c r="C14" s="12" t="s">
        <v>42</v>
      </c>
      <c r="D14" s="10" t="s">
        <v>37</v>
      </c>
      <c r="E14" s="10" t="s">
        <v>38</v>
      </c>
      <c r="F14" s="10" t="s">
        <v>39</v>
      </c>
      <c r="G14" s="10" t="s">
        <v>40</v>
      </c>
      <c r="H14" s="12"/>
      <c r="I14" s="12" t="s">
        <v>43</v>
      </c>
      <c r="J14" s="19" t="str">
        <f>CONCATENATE(J13,"/",B14)</f>
        <v>/transacitionsResponse/data</v>
      </c>
    </row>
    <row r="15" spans="2:10" ht="30">
      <c r="B15" s="21" t="s">
        <v>44</v>
      </c>
      <c r="C15" s="12" t="s">
        <v>45</v>
      </c>
      <c r="D15" s="10" t="s">
        <v>46</v>
      </c>
      <c r="E15" s="10" t="s">
        <v>47</v>
      </c>
      <c r="F15" s="10" t="s">
        <v>48</v>
      </c>
      <c r="G15" s="10" t="s">
        <v>19</v>
      </c>
      <c r="H15" s="12"/>
      <c r="I15" s="25" t="s">
        <v>49</v>
      </c>
      <c r="J15" s="19" t="str">
        <f>CONCATENATE(J14,"/",B15)</f>
        <v>/transacitionsResponse/data/transactions</v>
      </c>
    </row>
    <row r="16" spans="2:10">
      <c r="B16" s="22" t="s">
        <v>50</v>
      </c>
      <c r="C16" s="12" t="s">
        <v>51</v>
      </c>
      <c r="D16" s="10" t="s">
        <v>52</v>
      </c>
      <c r="E16" s="10" t="s">
        <v>53</v>
      </c>
      <c r="F16" s="10" t="s">
        <v>39</v>
      </c>
      <c r="G16" s="10" t="s">
        <v>40</v>
      </c>
      <c r="H16" s="12" t="s">
        <v>54</v>
      </c>
      <c r="I16" s="25" t="s">
        <v>55</v>
      </c>
      <c r="J16" s="19" t="str">
        <f>CONCATENATE($J$15,"/",B16)</f>
        <v>/transacitionsResponse/data/transactions/transactionId</v>
      </c>
    </row>
    <row r="17" spans="2:10">
      <c r="B17" s="22" t="s">
        <v>56</v>
      </c>
      <c r="C17" s="12" t="s">
        <v>57</v>
      </c>
      <c r="D17" s="10" t="s">
        <v>58</v>
      </c>
      <c r="E17" s="10" t="s">
        <v>59</v>
      </c>
      <c r="F17" s="10" t="s">
        <v>39</v>
      </c>
      <c r="G17" s="10" t="s">
        <v>40</v>
      </c>
      <c r="H17" s="12" t="s">
        <v>60</v>
      </c>
      <c r="I17" s="25" t="s">
        <v>61</v>
      </c>
      <c r="J17" s="19" t="str">
        <f t="shared" ref="J17:J24" si="0">CONCATENATE($J$15,"/",B17)</f>
        <v>/transacitionsResponse/data/transactions/transactionDate</v>
      </c>
    </row>
    <row r="18" spans="2:10" ht="60">
      <c r="B18" s="22" t="s">
        <v>62</v>
      </c>
      <c r="C18" s="12" t="s">
        <v>63</v>
      </c>
      <c r="D18" s="10" t="s">
        <v>64</v>
      </c>
      <c r="E18" s="10" t="s">
        <v>53</v>
      </c>
      <c r="F18" s="10" t="s">
        <v>39</v>
      </c>
      <c r="G18" s="10" t="s">
        <v>40</v>
      </c>
      <c r="H18" s="12" t="s">
        <v>65</v>
      </c>
      <c r="I18" s="25" t="s">
        <v>94</v>
      </c>
      <c r="J18" s="19" t="str">
        <f t="shared" si="0"/>
        <v>/transacitionsResponse/data/transactions/transactionType</v>
      </c>
    </row>
    <row r="19" spans="2:10" ht="30">
      <c r="B19" s="22" t="s">
        <v>66</v>
      </c>
      <c r="C19" s="12" t="s">
        <v>67</v>
      </c>
      <c r="D19" s="10" t="s">
        <v>68</v>
      </c>
      <c r="E19" s="10" t="s">
        <v>53</v>
      </c>
      <c r="F19" s="10" t="s">
        <v>18</v>
      </c>
      <c r="G19" s="10" t="s">
        <v>19</v>
      </c>
      <c r="H19" s="12" t="s">
        <v>69</v>
      </c>
      <c r="I19" s="25" t="s">
        <v>70</v>
      </c>
      <c r="J19" s="19" t="str">
        <f t="shared" si="0"/>
        <v>/transacitionsResponse/data/transactions/description</v>
      </c>
    </row>
    <row r="20" spans="2:10" ht="30">
      <c r="B20" s="22" t="s">
        <v>71</v>
      </c>
      <c r="C20" s="19" t="s">
        <v>72</v>
      </c>
      <c r="D20" s="10" t="s">
        <v>73</v>
      </c>
      <c r="E20" s="10" t="s">
        <v>74</v>
      </c>
      <c r="F20" s="10" t="s">
        <v>18</v>
      </c>
      <c r="G20" s="10" t="s">
        <v>19</v>
      </c>
      <c r="H20" s="23">
        <v>50000</v>
      </c>
      <c r="I20" s="26" t="s">
        <v>75</v>
      </c>
      <c r="J20" s="19" t="str">
        <f t="shared" si="0"/>
        <v>/transacitionsResponse/data/transactions/amount</v>
      </c>
    </row>
    <row r="21" spans="2:10">
      <c r="B21" s="22" t="s">
        <v>76</v>
      </c>
      <c r="C21" s="19" t="s">
        <v>77</v>
      </c>
      <c r="D21" s="10" t="s">
        <v>78</v>
      </c>
      <c r="E21" s="10" t="s">
        <v>53</v>
      </c>
      <c r="F21" s="10" t="s">
        <v>18</v>
      </c>
      <c r="G21" s="10" t="s">
        <v>19</v>
      </c>
      <c r="H21" s="19" t="s">
        <v>79</v>
      </c>
      <c r="I21" s="19" t="s">
        <v>80</v>
      </c>
      <c r="J21" s="19" t="str">
        <f t="shared" si="0"/>
        <v>/transacitionsResponse/data/transactions/currency</v>
      </c>
    </row>
    <row r="22" spans="2:10" ht="30">
      <c r="B22" s="22" t="s">
        <v>81</v>
      </c>
      <c r="C22" s="19" t="s">
        <v>82</v>
      </c>
      <c r="D22" s="10" t="s">
        <v>83</v>
      </c>
      <c r="E22" s="10" t="s">
        <v>38</v>
      </c>
      <c r="F22" s="10" t="s">
        <v>18</v>
      </c>
      <c r="G22" s="10" t="s">
        <v>19</v>
      </c>
      <c r="H22" s="19"/>
      <c r="I22" s="19" t="s">
        <v>84</v>
      </c>
      <c r="J22" s="19" t="str">
        <f t="shared" si="0"/>
        <v>/transacitionsResponse/data/transactions/coverageBefore</v>
      </c>
    </row>
    <row r="23" spans="2:10">
      <c r="B23" s="24" t="s">
        <v>85</v>
      </c>
      <c r="C23" s="19" t="s">
        <v>86</v>
      </c>
      <c r="D23" s="10" t="s">
        <v>73</v>
      </c>
      <c r="E23" s="10" t="s">
        <v>74</v>
      </c>
      <c r="F23" s="10" t="s">
        <v>18</v>
      </c>
      <c r="G23" s="10" t="s">
        <v>19</v>
      </c>
      <c r="H23" s="19">
        <v>1000000</v>
      </c>
      <c r="I23" s="19" t="s">
        <v>87</v>
      </c>
      <c r="J23" s="19" t="str">
        <f>CONCATENATE($J$15,"/",B23)</f>
        <v>/transacitionsResponse/data/transactions/insuredAmount</v>
      </c>
    </row>
    <row r="24" spans="2:10" ht="30">
      <c r="B24" s="22" t="s">
        <v>88</v>
      </c>
      <c r="C24" s="19" t="s">
        <v>89</v>
      </c>
      <c r="D24" s="10" t="s">
        <v>83</v>
      </c>
      <c r="E24" s="10" t="s">
        <v>38</v>
      </c>
      <c r="F24" s="10" t="s">
        <v>18</v>
      </c>
      <c r="G24" s="10" t="s">
        <v>19</v>
      </c>
      <c r="H24" s="19"/>
      <c r="I24" s="19" t="s">
        <v>90</v>
      </c>
      <c r="J24" s="19" t="str">
        <f t="shared" si="0"/>
        <v>/transacitionsResponse/data/transactions/coverageAfter</v>
      </c>
    </row>
    <row r="25" spans="2:10">
      <c r="B25" s="24" t="s">
        <v>91</v>
      </c>
      <c r="C25" s="19" t="s">
        <v>92</v>
      </c>
      <c r="D25" s="10" t="s">
        <v>73</v>
      </c>
      <c r="E25" s="10" t="s">
        <v>74</v>
      </c>
      <c r="F25" s="10" t="s">
        <v>18</v>
      </c>
      <c r="G25" s="10" t="s">
        <v>19</v>
      </c>
      <c r="H25" s="19">
        <v>1500000</v>
      </c>
      <c r="I25" s="19" t="s">
        <v>93</v>
      </c>
      <c r="J25" s="19" t="str">
        <f>CONCATENATE($J$15,"/",B25)</f>
        <v xml:space="preserve">/transacitionsResponse/data/transactions/insuredAmount 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33420A47-336E-407E-9C1B-845058A3E897}"/>
</file>

<file path=customXml/itemProps2.xml><?xml version="1.0" encoding="utf-8"?>
<ds:datastoreItem xmlns:ds="http://schemas.openxmlformats.org/officeDocument/2006/customXml" ds:itemID="{A559D90B-6B23-44F2-ABE0-771A37AAC2A6}"/>
</file>

<file path=customXml/itemProps3.xml><?xml version="1.0" encoding="utf-8"?>
<ds:datastoreItem xmlns:ds="http://schemas.openxmlformats.org/officeDocument/2006/customXml" ds:itemID="{9266C4A2-BB1C-4FD9-948E-CD54D19F3D8D}"/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2025-07-14T17:41:55Z</dcterms:created>
  <dcterms:modified xsi:type="dcterms:W3CDTF">2025-07-14T17:42:53Z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