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CE013CF4-4832-4F31-8FA5-E021CF5855A2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savings-instruments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3" l="1"/>
  <c r="I46" i="13"/>
  <c r="I47" i="13"/>
  <c r="I48" i="13"/>
  <c r="I50" i="13"/>
  <c r="I51" i="13"/>
  <c r="I52" i="13"/>
  <c r="I53" i="13"/>
  <c r="I54" i="13"/>
  <c r="I55" i="13"/>
  <c r="I56" i="13"/>
  <c r="I45" i="13"/>
</calcChain>
</file>

<file path=xl/sharedStrings.xml><?xml version="1.0" encoding="utf-8"?>
<sst xmlns="http://schemas.openxmlformats.org/spreadsheetml/2006/main" count="361" uniqueCount="214">
  <si>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</si>
  <si>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</si>
  <si>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</si>
  <si>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</si>
  <si>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</si>
  <si>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</si>
  <si>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</si>
  <si>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</si>
  <si>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</si>
  <si>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</si>
  <si>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</si>
  <si>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</si>
  <si>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</si>
  <si>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</si>
  <si>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</si>
  <si>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</si>
  <si>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</si>
  <si>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</si>
  <si>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</si>
  <si>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</si>
  <si>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</si>
  <si>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</si>
  <si>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</si>
  <si>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</si>
  <si>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</si>
  <si>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</si>
  <si>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</si>
  <si>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</si>
  <si>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</si>
  <si>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</si>
  <si>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</si>
  <si>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</si>
  <si>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</si>
  <si>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</si>
  <si>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</si>
  <si>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</si>
  <si>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</si>
  <si>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</si>
  <si>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</si>
  <si>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</si>
  <si>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</si>
  <si>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</si>
  <si>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</si>
  <si>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</si>
  <si>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</si>
  <si>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</si>
  <si>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</si>
  <si>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</si>
  <si>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</si>
  <si>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</si>
  <si>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</si>
  <si>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</si>
  <si>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</si>
  <si>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</si>
  <si>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</si>
  <si>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</si>
  <si>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</si>
  <si>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</si>
  <si>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</si>
  <si>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</si>
  <si>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</si>
  <si>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</si>
  <si>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</si>
  <si>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</si>
  <si>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</si>
  <si>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</si>
  <si>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</si>
  <si>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</si>
  <si>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</si>
  <si>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</si>
  <si>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</si>
  <si>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</si>
  <si>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</si>
  <si>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</si>
  <si>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</si>
  <si>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</si>
  <si>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</si>
  <si>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</si>
  <si>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</si>
  <si>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</si>
  <si>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</si>
  <si>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</si>
  <si>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</si>
  <si>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</si>
  <si>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</si>
  <si>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</si>
  <si>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</si>
  <si>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</si>
  <si>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</si>
  <si>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</si>
  <si>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</si>
  <si>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ACTIVE</t>
  </si>
  <si>
    <t>Response:</t>
  </si>
  <si>
    <t>true</t>
  </si>
  <si>
    <t>AmountString</t>
  </si>
  <si>
    <t>RateString</t>
  </si>
  <si>
    <t>boolean</t>
  </si>
  <si>
    <t>interestRate</t>
  </si>
  <si>
    <t>minTermMonths</t>
  </si>
  <si>
    <t>maxTermMonths</t>
  </si>
  <si>
    <t>MENSUAL, TRIMESTRAL</t>
  </si>
  <si>
    <t>false</t>
  </si>
  <si>
    <t>Para paginación: número de página.</t>
  </si>
  <si>
    <t>Cantidad de elementos por página.</t>
  </si>
  <si>
    <t>savingsSubType</t>
  </si>
  <si>
    <t>TERM_DEPOSIT</t>
  </si>
  <si>
    <t>Filtro por subtipo de instrumento (depósito a plazo, cuenta de ahorro a plazo, etc.).</t>
  </si>
  <si>
    <t>Filtra productos activos, cerrados, etc.</t>
  </si>
  <si>
    <t>TERM_DEPOSIT, SAVINGS_ACCOUNT_FIXED</t>
  </si>
  <si>
    <t>Subtipo (depósito a plazo fijo, cuenta de ahorro contractual, etc.).</t>
  </si>
  <si>
    <t>Plazo mínimo en meses (si aplica). p. ej. 3 meses de plazo mínimo para un depósito a plazo.</t>
  </si>
  <si>
    <t>Plazo máximo en meses (ej. 12 meses).</t>
  </si>
  <si>
    <t>0.7% mensual, 5% anual</t>
  </si>
  <si>
    <t>Tasa de interés (puede ser mensual o anual; se representa en una cadena de texto).</t>
  </si>
  <si>
    <t>FIXED, VARIABLE</t>
  </si>
  <si>
    <t>Tipo de tasa de interés (fija, variable).</t>
  </si>
  <si>
    <t>capitalizationPeriod</t>
  </si>
  <si>
    <t>Indica la frecuencia con que se capitalizan los intereses (mensual, trimestral, anual, etc.).</t>
  </si>
  <si>
    <t>minDepositAmount</t>
  </si>
  <si>
    <t>Monto mínimo de apertura o depósito inicial (en la moneda definida).</t>
  </si>
  <si>
    <t>maxDepositAmount</t>
  </si>
  <si>
    <t>Monto máximo permitido (algunas entidades ponen topes para ciertos instrumentos).</t>
  </si>
  <si>
    <t>partialWithdrawalAllowed</t>
  </si>
  <si>
    <t>Indica si el instrumento permite retiros parciales antes del vencimiento (por ejemplo, en un depósito a plazo con retiro anticipado con penalización).</t>
  </si>
  <si>
    <t>earlyWithdrawalPenalties</t>
  </si>
  <si>
    <t>Penalización de 2% sobre capital</t>
  </si>
  <si>
    <t>Descripción de penalizaciones o costos por retiro anticipado.</t>
  </si>
  <si>
    <t>autoRenewal</t>
  </si>
  <si>
    <t>Indica si el instrumento se renueva automáticamente al vencimiento (caso de depósitos a plazo renovables).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</si>
  <si>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</si>
  <si>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</si>
  <si>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</si>
  <si>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</si>
  <si>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</si>
  <si>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</si>
  <si>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</si>
  <si>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</si>
  <si>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</si>
  <si>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</si>
  <si>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</si>
  <si>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</si>
  <si>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</si>
  <si>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</si>
  <si>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</si>
  <si>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</si>
  <si>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</si>
  <si>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</si>
  <si>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</si>
  <si>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</si>
  <si>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</si>
  <si>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</si>
  <si>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</si>
  <si>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</si>
  <si>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</si>
  <si>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</si>
  <si>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</si>
  <si>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</si>
  <si>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</si>
  <si>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</si>
  <si>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savingsInstruments</t>
  </si>
  <si>
    <t>Objeto de instrumentos</t>
  </si>
  <si>
    <t>openData/productServices/savingsInstruments</t>
  </si>
  <si>
    <t>/products-services/v1/opendata-saving-instruments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</si>
  <si>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</si>
  <si>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</si>
  <si>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</si>
  <si>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</si>
  <si>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</si>
  <si>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</si>
  <si>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typeInterestRate</t>
  </si>
  <si>
    <t>periodInterestRate</t>
  </si>
  <si>
    <t>Periodicidad</t>
  </si>
  <si>
    <t>savingsType</t>
  </si>
  <si>
    <t>openData/productServices/savingsInstruments/savingsType</t>
  </si>
  <si>
    <t>Tipo de instrumento</t>
  </si>
  <si>
    <t>mensual, anual</t>
  </si>
  <si>
    <t>Subtipo de instrumento</t>
  </si>
  <si>
    <t>Plazo mínimo  en meses</t>
  </si>
  <si>
    <t>Plazo máximo en meses</t>
  </si>
  <si>
    <t xml:space="preserve">Tasa de interés </t>
  </si>
  <si>
    <t xml:space="preserve">Tipo de tasa de interés </t>
  </si>
  <si>
    <t>Indica la frecuencia con que se capitalizan los intereses</t>
  </si>
  <si>
    <t>Monto mínimo de apertura o depósito inicial</t>
  </si>
  <si>
    <t>Monto máximo permitido</t>
  </si>
  <si>
    <t>Indica si el instrumento permite retiros parciales antes del vencimiento</t>
  </si>
  <si>
    <t xml:space="preserve">Indica si el instrumento se renueva automáticamente al vencimiento 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</si>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</sst>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9" fontId="5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0</xdr:row>
      <xdr:rowOff>191397</xdr:rowOff>
    </xdr:from>
    <xdr:to>
      <xdr:col>2</xdr:col>
      <xdr:colOff>617856</xdr:colOff>
      <xdr:row>0</xdr:row>
      <xdr:rowOff>660187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AB8E57-4868-42EA-9B8B-4DF988895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191397"/>
          <a:ext cx="2660501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7126-C38C-4AFA-9357-13125439492A}">
  <dimension ref="B1:I98"/>
  <sheetViews>
    <sheetView showGridLines="0" tabSelected="1" topLeftCell="A3" zoomScale="85" zoomScaleNormal="85" workbookViewId="0">
      <selection activeCell="G12" sqref="G12:G56"/>
    </sheetView>
  </sheetViews>
  <sheetFormatPr baseColWidth="10" defaultColWidth="11.453125" defaultRowHeight="14.5"/>
  <cols>
    <col min="1" max="1" width="6.81640625" customWidth="1"/>
    <col min="2" max="2" width="30.90625" customWidth="1"/>
    <col min="3" max="3" width="23.81640625" customWidth="1"/>
    <col min="4" max="4" width="22.26953125" customWidth="1"/>
    <col min="5" max="5" width="19.7265625" bestFit="1" customWidth="1"/>
    <col min="6" max="6" width="17.1796875" style="12" customWidth="1"/>
    <col min="7" max="7" width="15.81640625" style="12" customWidth="1"/>
    <col min="8" max="8" width="35.81640625" customWidth="1"/>
    <col min="9" max="9" width="67.453125" customWidth="1"/>
    <col min="10" max="10" width="64.8164062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20" t="s">
        <v>162</v>
      </c>
    </row>
    <row r="4" spans="2:9" ht="21">
      <c r="B4" s="2" t="s">
        <v>87</v>
      </c>
    </row>
    <row r="5" spans="2:9">
      <c r="B5" s="4" t="s">
        <v>1</v>
      </c>
      <c r="C5" s="4" t="s">
        <v>156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88</v>
      </c>
      <c r="C6" s="7" t="s">
        <v>157</v>
      </c>
      <c r="D6" s="6" t="s">
        <v>89</v>
      </c>
      <c r="E6" s="6" t="s">
        <v>68</v>
      </c>
      <c r="F6" s="13" t="s">
        <v>19</v>
      </c>
      <c r="G6" s="6">
        <v>1</v>
      </c>
      <c r="H6" s="7" t="s">
        <v>102</v>
      </c>
    </row>
    <row r="7" spans="2:9">
      <c r="B7" s="5" t="s">
        <v>90</v>
      </c>
      <c r="C7" s="7" t="s">
        <v>157</v>
      </c>
      <c r="D7" s="6" t="s">
        <v>89</v>
      </c>
      <c r="E7" s="6" t="s">
        <v>68</v>
      </c>
      <c r="F7" s="13" t="s">
        <v>19</v>
      </c>
      <c r="G7" s="6">
        <v>20</v>
      </c>
      <c r="H7" s="7" t="s">
        <v>103</v>
      </c>
    </row>
    <row r="8" spans="2:9" ht="29">
      <c r="B8" s="5" t="s">
        <v>172</v>
      </c>
      <c r="C8" s="7" t="s">
        <v>157</v>
      </c>
      <c r="D8" s="6" t="s">
        <v>51</v>
      </c>
      <c r="E8" s="6" t="s">
        <v>9</v>
      </c>
      <c r="F8" s="13" t="s">
        <v>19</v>
      </c>
      <c r="G8" s="8" t="s">
        <v>105</v>
      </c>
      <c r="H8" s="7" t="s">
        <v>106</v>
      </c>
    </row>
    <row r="9" spans="2:9">
      <c r="B9" s="5" t="s">
        <v>32</v>
      </c>
      <c r="C9" s="7" t="s">
        <v>157</v>
      </c>
      <c r="D9" s="6" t="s">
        <v>51</v>
      </c>
      <c r="E9" s="6" t="s">
        <v>9</v>
      </c>
      <c r="F9" s="13" t="s">
        <v>19</v>
      </c>
      <c r="G9" s="8" t="s">
        <v>91</v>
      </c>
      <c r="H9" s="7" t="s">
        <v>107</v>
      </c>
    </row>
    <row r="11" spans="2:9" ht="21">
      <c r="B11" s="2" t="s">
        <v>92</v>
      </c>
    </row>
    <row r="12" spans="2:9">
      <c r="B12" s="4" t="s">
        <v>1</v>
      </c>
      <c r="C12" s="4" t="s">
        <v>149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130</v>
      </c>
    </row>
    <row r="13" spans="2:9">
      <c r="B13" s="5" t="s">
        <v>150</v>
      </c>
      <c r="C13" s="11" t="s">
        <v>151</v>
      </c>
      <c r="D13" s="6"/>
      <c r="E13" s="6"/>
      <c r="F13" s="13"/>
      <c r="G13" s="6"/>
      <c r="H13" s="7"/>
      <c r="I13" s="7" t="s">
        <v>150</v>
      </c>
    </row>
    <row r="14" spans="2:9" ht="29">
      <c r="B14" s="17" t="s">
        <v>152</v>
      </c>
      <c r="C14" s="11" t="s">
        <v>158</v>
      </c>
      <c r="D14" s="6" t="s">
        <v>153</v>
      </c>
      <c r="E14" s="6" t="s">
        <v>154</v>
      </c>
      <c r="F14" s="13" t="s">
        <v>129</v>
      </c>
      <c r="G14" s="6"/>
      <c r="H14" s="7"/>
      <c r="I14" s="7" t="s">
        <v>155</v>
      </c>
    </row>
    <row r="15" spans="2:9" ht="29">
      <c r="B15" s="18" t="s">
        <v>7</v>
      </c>
      <c r="C15" s="7" t="s">
        <v>131</v>
      </c>
      <c r="D15" s="6" t="s">
        <v>8</v>
      </c>
      <c r="E15" s="6" t="s">
        <v>9</v>
      </c>
      <c r="F15" s="7" t="s">
        <v>10</v>
      </c>
      <c r="G15" s="6" t="s">
        <v>11</v>
      </c>
      <c r="H15" s="7" t="s">
        <v>12</v>
      </c>
      <c r="I15" s="7" t="s">
        <v>186</v>
      </c>
    </row>
    <row r="16" spans="2:9" ht="37.5">
      <c r="B16" s="18" t="s">
        <v>13</v>
      </c>
      <c r="C16" s="7" t="s">
        <v>133</v>
      </c>
      <c r="D16" s="8" t="s">
        <v>14</v>
      </c>
      <c r="E16" s="6" t="s">
        <v>9</v>
      </c>
      <c r="F16" s="7" t="s">
        <v>10</v>
      </c>
      <c r="G16" s="6" t="s">
        <v>15</v>
      </c>
      <c r="H16" s="7" t="s">
        <v>16</v>
      </c>
      <c r="I16" s="7" t="s">
        <v>187</v>
      </c>
    </row>
    <row r="17" spans="2:9" ht="29">
      <c r="B17" s="18" t="s">
        <v>17</v>
      </c>
      <c r="C17" s="7" t="s">
        <v>132</v>
      </c>
      <c r="D17" s="6" t="s">
        <v>18</v>
      </c>
      <c r="E17" s="6" t="s">
        <v>9</v>
      </c>
      <c r="F17" s="7" t="s">
        <v>19</v>
      </c>
      <c r="G17" s="8" t="s">
        <v>20</v>
      </c>
      <c r="H17" s="7" t="s">
        <v>21</v>
      </c>
      <c r="I17" s="7" t="s">
        <v>188</v>
      </c>
    </row>
    <row r="18" spans="2:9" ht="29">
      <c r="B18" s="18" t="s">
        <v>22</v>
      </c>
      <c r="C18" s="7" t="s">
        <v>134</v>
      </c>
      <c r="D18" s="6" t="s">
        <v>8</v>
      </c>
      <c r="E18" s="6" t="s">
        <v>9</v>
      </c>
      <c r="F18" s="7" t="s">
        <v>19</v>
      </c>
      <c r="G18" s="8" t="s">
        <v>23</v>
      </c>
      <c r="H18" s="7" t="s">
        <v>24</v>
      </c>
      <c r="I18" s="7" t="s">
        <v>189</v>
      </c>
    </row>
    <row r="19" spans="2:9" ht="29">
      <c r="B19" s="18" t="s">
        <v>25</v>
      </c>
      <c r="C19" s="7" t="s">
        <v>135</v>
      </c>
      <c r="D19" s="6" t="s">
        <v>18</v>
      </c>
      <c r="E19" s="6" t="s">
        <v>9</v>
      </c>
      <c r="F19" s="7" t="s">
        <v>19</v>
      </c>
      <c r="G19" s="8" t="s">
        <v>26</v>
      </c>
      <c r="H19" s="7" t="s">
        <v>27</v>
      </c>
      <c r="I19" s="7" t="s">
        <v>190</v>
      </c>
    </row>
    <row r="20" spans="2:9" ht="29">
      <c r="B20" s="18" t="s">
        <v>28</v>
      </c>
      <c r="C20" s="7" t="s">
        <v>136</v>
      </c>
      <c r="D20" s="6" t="s">
        <v>29</v>
      </c>
      <c r="E20" s="6" t="s">
        <v>9</v>
      </c>
      <c r="F20" s="7" t="s">
        <v>19</v>
      </c>
      <c r="G20" s="6" t="s">
        <v>30</v>
      </c>
      <c r="H20" s="7" t="s">
        <v>31</v>
      </c>
      <c r="I20" s="7" t="s">
        <v>191</v>
      </c>
    </row>
    <row r="21" spans="2:9" ht="43.5">
      <c r="B21" s="18" t="s">
        <v>32</v>
      </c>
      <c r="C21" s="7" t="s">
        <v>137</v>
      </c>
      <c r="D21" s="6" t="s">
        <v>14</v>
      </c>
      <c r="E21" s="6" t="s">
        <v>9</v>
      </c>
      <c r="F21" s="7" t="s">
        <v>19</v>
      </c>
      <c r="G21" s="6" t="s">
        <v>33</v>
      </c>
      <c r="H21" s="7" t="s">
        <v>34</v>
      </c>
      <c r="I21" s="7" t="s">
        <v>192</v>
      </c>
    </row>
    <row r="22" spans="2:9" ht="29">
      <c r="B22" s="18" t="s">
        <v>35</v>
      </c>
      <c r="C22" s="7" t="s">
        <v>39</v>
      </c>
      <c r="D22" s="6" t="s">
        <v>36</v>
      </c>
      <c r="E22" s="6" t="s">
        <v>37</v>
      </c>
      <c r="F22" s="7" t="s">
        <v>19</v>
      </c>
      <c r="G22" s="6" t="s">
        <v>38</v>
      </c>
      <c r="H22" s="7" t="s">
        <v>39</v>
      </c>
      <c r="I22" s="7" t="s">
        <v>193</v>
      </c>
    </row>
    <row r="23" spans="2:9" ht="29">
      <c r="B23" s="18" t="s">
        <v>40</v>
      </c>
      <c r="C23" s="7" t="s">
        <v>142</v>
      </c>
      <c r="D23" s="6" t="s">
        <v>36</v>
      </c>
      <c r="E23" s="6" t="s">
        <v>37</v>
      </c>
      <c r="F23" s="7" t="s">
        <v>19</v>
      </c>
      <c r="G23" s="6" t="s">
        <v>41</v>
      </c>
      <c r="H23" s="7" t="s">
        <v>42</v>
      </c>
      <c r="I23" s="7" t="s">
        <v>194</v>
      </c>
    </row>
    <row r="24" spans="2:9" ht="43.5">
      <c r="B24" s="18" t="s">
        <v>43</v>
      </c>
      <c r="C24" s="7" t="s">
        <v>46</v>
      </c>
      <c r="D24" s="6" t="s">
        <v>44</v>
      </c>
      <c r="E24" s="6" t="s">
        <v>9</v>
      </c>
      <c r="F24" s="7" t="s">
        <v>19</v>
      </c>
      <c r="G24" s="6" t="s">
        <v>45</v>
      </c>
      <c r="H24" s="7" t="s">
        <v>46</v>
      </c>
      <c r="I24" s="7" t="s">
        <v>195</v>
      </c>
    </row>
    <row r="25" spans="2:9">
      <c r="B25" s="18" t="s">
        <v>47</v>
      </c>
      <c r="C25" s="7"/>
      <c r="D25" s="6" t="s">
        <v>48</v>
      </c>
      <c r="E25" s="6"/>
      <c r="F25" s="7"/>
      <c r="G25" s="6"/>
      <c r="H25" s="7" t="s">
        <v>49</v>
      </c>
      <c r="I25" s="7" t="s">
        <v>196</v>
      </c>
    </row>
    <row r="26" spans="2:9" ht="43.5">
      <c r="B26" s="19" t="s">
        <v>50</v>
      </c>
      <c r="C26" s="7" t="s">
        <v>143</v>
      </c>
      <c r="D26" s="6" t="s">
        <v>51</v>
      </c>
      <c r="E26" s="6" t="s">
        <v>9</v>
      </c>
      <c r="F26" s="7" t="s">
        <v>19</v>
      </c>
      <c r="G26" s="6" t="s">
        <v>52</v>
      </c>
      <c r="H26" s="7" t="s">
        <v>53</v>
      </c>
      <c r="I26" s="7" t="s">
        <v>197</v>
      </c>
    </row>
    <row r="27" spans="2:9" ht="43.5">
      <c r="B27" s="19" t="s">
        <v>163</v>
      </c>
      <c r="C27" s="7" t="s">
        <v>49</v>
      </c>
      <c r="D27" s="6" t="s">
        <v>54</v>
      </c>
      <c r="E27" s="6" t="s">
        <v>55</v>
      </c>
      <c r="F27" s="7" t="s">
        <v>19</v>
      </c>
      <c r="G27" s="6" t="s">
        <v>56</v>
      </c>
      <c r="H27" s="7" t="s">
        <v>57</v>
      </c>
      <c r="I27" s="7" t="s">
        <v>198</v>
      </c>
    </row>
    <row r="28" spans="2:9">
      <c r="B28" s="19" t="s">
        <v>28</v>
      </c>
      <c r="C28" s="7" t="s">
        <v>144</v>
      </c>
      <c r="D28" s="6" t="s">
        <v>29</v>
      </c>
      <c r="E28" s="6" t="s">
        <v>9</v>
      </c>
      <c r="F28" s="7" t="s">
        <v>19</v>
      </c>
      <c r="G28" s="6" t="s">
        <v>30</v>
      </c>
      <c r="H28" s="7"/>
      <c r="I28" s="7" t="s">
        <v>199</v>
      </c>
    </row>
    <row r="29" spans="2:9" ht="43.5">
      <c r="B29" s="19" t="s">
        <v>58</v>
      </c>
      <c r="C29" s="7" t="s">
        <v>138</v>
      </c>
      <c r="D29" s="6" t="s">
        <v>18</v>
      </c>
      <c r="E29" s="6" t="s">
        <v>9</v>
      </c>
      <c r="F29" s="7" t="s">
        <v>19</v>
      </c>
      <c r="G29" s="6" t="s">
        <v>59</v>
      </c>
      <c r="H29" s="7" t="s">
        <v>60</v>
      </c>
      <c r="I29" s="7" t="s">
        <v>200</v>
      </c>
    </row>
    <row r="30" spans="2:9" ht="37.5">
      <c r="B30" s="19" t="s">
        <v>61</v>
      </c>
      <c r="C30" s="7" t="s">
        <v>145</v>
      </c>
      <c r="D30" s="6" t="s">
        <v>44</v>
      </c>
      <c r="E30" s="6" t="s">
        <v>9</v>
      </c>
      <c r="F30" s="7" t="s">
        <v>19</v>
      </c>
      <c r="G30" s="6" t="s">
        <v>62</v>
      </c>
      <c r="H30" s="7"/>
      <c r="I30" s="7" t="s">
        <v>201</v>
      </c>
    </row>
    <row r="31" spans="2:9">
      <c r="B31" s="18" t="s">
        <v>63</v>
      </c>
      <c r="C31" s="7"/>
      <c r="D31" s="6" t="s">
        <v>48</v>
      </c>
      <c r="E31" s="6" t="s">
        <v>154</v>
      </c>
      <c r="F31" s="7" t="s">
        <v>129</v>
      </c>
      <c r="G31" s="6"/>
      <c r="H31" s="7"/>
      <c r="I31" s="7" t="s">
        <v>202</v>
      </c>
    </row>
    <row r="32" spans="2:9" ht="43.5">
      <c r="B32" s="19" t="s">
        <v>164</v>
      </c>
      <c r="C32" s="7" t="s">
        <v>165</v>
      </c>
      <c r="D32" s="6" t="s">
        <v>8</v>
      </c>
      <c r="E32" s="6" t="s">
        <v>9</v>
      </c>
      <c r="F32" s="7" t="s">
        <v>19</v>
      </c>
      <c r="G32" s="6" t="s">
        <v>52</v>
      </c>
      <c r="H32" s="7" t="s">
        <v>53</v>
      </c>
      <c r="I32" s="7" t="s">
        <v>203</v>
      </c>
    </row>
    <row r="33" spans="2:9" ht="43.5">
      <c r="B33" s="19" t="s">
        <v>163</v>
      </c>
      <c r="C33" s="7" t="s">
        <v>166</v>
      </c>
      <c r="D33" s="6" t="s">
        <v>64</v>
      </c>
      <c r="E33" s="6" t="s">
        <v>65</v>
      </c>
      <c r="F33" s="7" t="s">
        <v>19</v>
      </c>
      <c r="G33" s="6" t="s">
        <v>56</v>
      </c>
      <c r="H33" s="7" t="s">
        <v>57</v>
      </c>
      <c r="I33" s="7" t="s">
        <v>204</v>
      </c>
    </row>
    <row r="34" spans="2:9">
      <c r="B34" s="19" t="s">
        <v>28</v>
      </c>
      <c r="C34" s="7" t="s">
        <v>167</v>
      </c>
      <c r="D34" s="6" t="s">
        <v>29</v>
      </c>
      <c r="E34" s="6" t="s">
        <v>9</v>
      </c>
      <c r="F34" s="7" t="s">
        <v>19</v>
      </c>
      <c r="G34" s="6" t="s">
        <v>30</v>
      </c>
      <c r="H34" s="7"/>
      <c r="I34" s="7" t="s">
        <v>205</v>
      </c>
    </row>
    <row r="35" spans="2:9" ht="43.5">
      <c r="B35" s="19" t="s">
        <v>58</v>
      </c>
      <c r="C35" s="7" t="s">
        <v>59</v>
      </c>
      <c r="D35" s="6" t="s">
        <v>18</v>
      </c>
      <c r="E35" s="6" t="s">
        <v>9</v>
      </c>
      <c r="F35" s="7" t="s">
        <v>19</v>
      </c>
      <c r="G35" s="6" t="s">
        <v>59</v>
      </c>
      <c r="H35" s="7" t="s">
        <v>60</v>
      </c>
      <c r="I35" s="7" t="s">
        <v>206</v>
      </c>
    </row>
    <row r="36" spans="2:9" ht="37.5">
      <c r="B36" s="19" t="s">
        <v>61</v>
      </c>
      <c r="C36" s="7" t="s">
        <v>168</v>
      </c>
      <c r="D36" s="6" t="s">
        <v>18</v>
      </c>
      <c r="E36" s="6" t="s">
        <v>9</v>
      </c>
      <c r="F36" s="7" t="s">
        <v>19</v>
      </c>
      <c r="G36" s="6" t="s">
        <v>62</v>
      </c>
      <c r="H36" s="7"/>
      <c r="I36" s="7" t="s">
        <v>207</v>
      </c>
    </row>
    <row r="37" spans="2:9" ht="29">
      <c r="B37" s="18" t="s">
        <v>66</v>
      </c>
      <c r="C37" s="7" t="s">
        <v>139</v>
      </c>
      <c r="D37" s="6" t="s">
        <v>67</v>
      </c>
      <c r="E37" s="6" t="s">
        <v>68</v>
      </c>
      <c r="F37" s="7" t="s">
        <v>19</v>
      </c>
      <c r="G37" s="6">
        <v>12</v>
      </c>
      <c r="H37" s="7" t="s">
        <v>69</v>
      </c>
      <c r="I37" s="7" t="s">
        <v>208</v>
      </c>
    </row>
    <row r="38" spans="2:9" ht="37.5">
      <c r="B38" s="18" t="s">
        <v>70</v>
      </c>
      <c r="C38" s="7" t="s">
        <v>140</v>
      </c>
      <c r="D38" s="6" t="s">
        <v>44</v>
      </c>
      <c r="E38" s="6" t="s">
        <v>9</v>
      </c>
      <c r="F38" s="7" t="s">
        <v>19</v>
      </c>
      <c r="G38" s="6" t="s">
        <v>71</v>
      </c>
      <c r="H38" s="7" t="s">
        <v>72</v>
      </c>
      <c r="I38" s="7" t="s">
        <v>209</v>
      </c>
    </row>
    <row r="39" spans="2:9" ht="43.5">
      <c r="B39" s="18" t="s">
        <v>73</v>
      </c>
      <c r="C39" s="7" t="s">
        <v>141</v>
      </c>
      <c r="D39" s="6" t="s">
        <v>44</v>
      </c>
      <c r="E39" s="6" t="s">
        <v>9</v>
      </c>
      <c r="F39" s="7" t="s">
        <v>19</v>
      </c>
      <c r="G39" s="6" t="s">
        <v>74</v>
      </c>
      <c r="H39" s="7" t="s">
        <v>75</v>
      </c>
      <c r="I39" s="7" t="s">
        <v>210</v>
      </c>
    </row>
    <row r="40" spans="2:9" ht="43.5">
      <c r="B40" s="18" t="s">
        <v>76</v>
      </c>
      <c r="C40" s="7" t="s">
        <v>146</v>
      </c>
      <c r="D40" s="6" t="s">
        <v>51</v>
      </c>
      <c r="E40" s="6" t="s">
        <v>9</v>
      </c>
      <c r="F40" s="7" t="s">
        <v>19</v>
      </c>
      <c r="G40" s="6" t="s">
        <v>77</v>
      </c>
      <c r="H40" s="7" t="s">
        <v>78</v>
      </c>
      <c r="I40" s="7" t="s">
        <v>211</v>
      </c>
    </row>
    <row r="41" spans="2:9" ht="43.5">
      <c r="B41" s="18" t="s">
        <v>79</v>
      </c>
      <c r="C41" s="7" t="s">
        <v>147</v>
      </c>
      <c r="D41" s="6" t="s">
        <v>44</v>
      </c>
      <c r="E41" s="6" t="s">
        <v>9</v>
      </c>
      <c r="F41" s="7" t="s">
        <v>19</v>
      </c>
      <c r="G41" s="6" t="s">
        <v>80</v>
      </c>
      <c r="H41" s="7" t="s">
        <v>81</v>
      </c>
      <c r="I41" s="7" t="s">
        <v>212</v>
      </c>
    </row>
    <row r="42" spans="2:9" ht="25">
      <c r="B42" s="18" t="s">
        <v>82</v>
      </c>
      <c r="C42" s="7" t="s">
        <v>148</v>
      </c>
      <c r="D42" s="6" t="s">
        <v>44</v>
      </c>
      <c r="E42" s="6" t="s">
        <v>9</v>
      </c>
      <c r="F42" s="7" t="s">
        <v>19</v>
      </c>
      <c r="G42" s="10" t="s">
        <v>83</v>
      </c>
      <c r="H42" s="7" t="s">
        <v>84</v>
      </c>
      <c r="I42" s="7" t="s">
        <v>213</v>
      </c>
    </row>
    <row r="43" spans="2:9">
      <c r="B43" s="18" t="s">
        <v>159</v>
      </c>
      <c r="C43" s="11" t="s">
        <v>160</v>
      </c>
      <c r="D43" s="6"/>
      <c r="E43" s="6" t="s">
        <v>154</v>
      </c>
      <c r="F43" s="13" t="s">
        <v>129</v>
      </c>
      <c r="G43" s="6"/>
      <c r="H43" s="7"/>
      <c r="I43" s="7" t="s">
        <v>161</v>
      </c>
    </row>
    <row r="44" spans="2:9" ht="29">
      <c r="B44" s="19" t="s">
        <v>172</v>
      </c>
      <c r="C44" s="15" t="s">
        <v>174</v>
      </c>
      <c r="D44" s="6" t="s">
        <v>51</v>
      </c>
      <c r="E44" s="6" t="s">
        <v>9</v>
      </c>
      <c r="F44" s="13" t="s">
        <v>19</v>
      </c>
      <c r="G44" s="8" t="s">
        <v>105</v>
      </c>
      <c r="H44" s="7" t="s">
        <v>106</v>
      </c>
      <c r="I44" s="7" t="s">
        <v>173</v>
      </c>
    </row>
    <row r="45" spans="2:9" ht="37.5">
      <c r="B45" s="19" t="s">
        <v>104</v>
      </c>
      <c r="C45" s="7" t="s">
        <v>176</v>
      </c>
      <c r="D45" s="6" t="s">
        <v>51</v>
      </c>
      <c r="E45" s="6" t="s">
        <v>9</v>
      </c>
      <c r="F45" s="13" t="s">
        <v>19</v>
      </c>
      <c r="G45" s="6" t="s">
        <v>108</v>
      </c>
      <c r="H45" s="7" t="s">
        <v>109</v>
      </c>
      <c r="I45" s="7" t="str">
        <f>CONCATENATE($I$43,"/",B45)</f>
        <v>openData/productServices/savingsInstruments/savingsSubType</v>
      </c>
    </row>
    <row r="46" spans="2:9" ht="43.5">
      <c r="B46" s="19" t="s">
        <v>98</v>
      </c>
      <c r="C46" s="7" t="s">
        <v>177</v>
      </c>
      <c r="D46" s="8" t="s">
        <v>67</v>
      </c>
      <c r="E46" s="6" t="s">
        <v>68</v>
      </c>
      <c r="F46" s="13" t="s">
        <v>19</v>
      </c>
      <c r="G46" s="6">
        <v>3</v>
      </c>
      <c r="H46" s="7" t="s">
        <v>110</v>
      </c>
      <c r="I46" s="7" t="str">
        <f t="shared" ref="I46:I56" si="0">CONCATENATE($I$43,"/",B46)</f>
        <v>openData/productServices/savingsInstruments/minTermMonths</v>
      </c>
    </row>
    <row r="47" spans="2:9">
      <c r="B47" s="19" t="s">
        <v>99</v>
      </c>
      <c r="C47" s="7" t="s">
        <v>178</v>
      </c>
      <c r="D47" s="8" t="s">
        <v>67</v>
      </c>
      <c r="E47" s="6" t="s">
        <v>68</v>
      </c>
      <c r="F47" s="13" t="s">
        <v>19</v>
      </c>
      <c r="G47" s="6">
        <v>12</v>
      </c>
      <c r="H47" s="7" t="s">
        <v>111</v>
      </c>
      <c r="I47" s="7" t="str">
        <f t="shared" si="0"/>
        <v>openData/productServices/savingsInstruments/maxTermMonths</v>
      </c>
    </row>
    <row r="48" spans="2:9" ht="43.5">
      <c r="B48" s="19" t="s">
        <v>97</v>
      </c>
      <c r="C48" s="7" t="s">
        <v>179</v>
      </c>
      <c r="D48" s="6" t="s">
        <v>95</v>
      </c>
      <c r="E48" s="6" t="s">
        <v>9</v>
      </c>
      <c r="F48" s="13" t="s">
        <v>19</v>
      </c>
      <c r="G48" s="8" t="s">
        <v>112</v>
      </c>
      <c r="H48" s="7" t="s">
        <v>113</v>
      </c>
      <c r="I48" s="7" t="str">
        <f t="shared" si="0"/>
        <v>openData/productServices/savingsInstruments/interestRate</v>
      </c>
    </row>
    <row r="49" spans="2:9">
      <c r="B49" s="19" t="s">
        <v>170</v>
      </c>
      <c r="C49" s="14" t="s">
        <v>171</v>
      </c>
      <c r="D49" s="6" t="s">
        <v>51</v>
      </c>
      <c r="E49" s="6" t="s">
        <v>9</v>
      </c>
      <c r="F49" s="13" t="s">
        <v>19</v>
      </c>
      <c r="G49" s="6" t="s">
        <v>175</v>
      </c>
      <c r="H49" s="7" t="s">
        <v>171</v>
      </c>
      <c r="I49" s="7" t="str">
        <f t="shared" si="0"/>
        <v>openData/productServices/savingsInstruments/periodInterestRate</v>
      </c>
    </row>
    <row r="50" spans="2:9">
      <c r="B50" s="19" t="s">
        <v>169</v>
      </c>
      <c r="C50" s="7" t="s">
        <v>180</v>
      </c>
      <c r="D50" s="6" t="s">
        <v>51</v>
      </c>
      <c r="E50" s="6" t="s">
        <v>9</v>
      </c>
      <c r="F50" s="13" t="s">
        <v>19</v>
      </c>
      <c r="G50" s="16" t="s">
        <v>114</v>
      </c>
      <c r="H50" s="7" t="s">
        <v>115</v>
      </c>
      <c r="I50" s="7" t="str">
        <f t="shared" si="0"/>
        <v>openData/productServices/savingsInstruments/typeInterestRate</v>
      </c>
    </row>
    <row r="51" spans="2:9" ht="43.5">
      <c r="B51" s="19" t="s">
        <v>116</v>
      </c>
      <c r="C51" s="7" t="s">
        <v>181</v>
      </c>
      <c r="D51" s="6" t="s">
        <v>51</v>
      </c>
      <c r="E51" s="6" t="s">
        <v>9</v>
      </c>
      <c r="F51" s="13" t="s">
        <v>19</v>
      </c>
      <c r="G51" s="8" t="s">
        <v>100</v>
      </c>
      <c r="H51" s="7" t="s">
        <v>117</v>
      </c>
      <c r="I51" s="7" t="str">
        <f t="shared" si="0"/>
        <v>openData/productServices/savingsInstruments/capitalizationPeriod</v>
      </c>
    </row>
    <row r="52" spans="2:9" ht="29">
      <c r="B52" s="19" t="s">
        <v>118</v>
      </c>
      <c r="C52" s="7" t="s">
        <v>182</v>
      </c>
      <c r="D52" s="6" t="s">
        <v>94</v>
      </c>
      <c r="E52" s="6" t="s">
        <v>9</v>
      </c>
      <c r="F52" s="13" t="s">
        <v>19</v>
      </c>
      <c r="G52" s="6">
        <v>100000</v>
      </c>
      <c r="H52" s="7" t="s">
        <v>119</v>
      </c>
      <c r="I52" s="7" t="str">
        <f t="shared" si="0"/>
        <v>openData/productServices/savingsInstruments/minDepositAmount</v>
      </c>
    </row>
    <row r="53" spans="2:9" ht="43.5">
      <c r="B53" s="19" t="s">
        <v>120</v>
      </c>
      <c r="C53" s="7" t="s">
        <v>183</v>
      </c>
      <c r="D53" s="6" t="s">
        <v>94</v>
      </c>
      <c r="E53" s="6" t="s">
        <v>9</v>
      </c>
      <c r="F53" s="13" t="s">
        <v>19</v>
      </c>
      <c r="G53" s="10">
        <v>10000000</v>
      </c>
      <c r="H53" s="7" t="s">
        <v>121</v>
      </c>
      <c r="I53" s="7" t="str">
        <f t="shared" si="0"/>
        <v>openData/productServices/savingsInstruments/maxDepositAmount</v>
      </c>
    </row>
    <row r="54" spans="2:9" ht="58">
      <c r="B54" s="19" t="s">
        <v>122</v>
      </c>
      <c r="C54" s="7" t="s">
        <v>184</v>
      </c>
      <c r="D54" s="6" t="s">
        <v>96</v>
      </c>
      <c r="E54" s="6" t="s">
        <v>96</v>
      </c>
      <c r="F54" s="13" t="s">
        <v>19</v>
      </c>
      <c r="G54" s="6" t="s">
        <v>101</v>
      </c>
      <c r="H54" s="7" t="s">
        <v>123</v>
      </c>
      <c r="I54" s="7" t="str">
        <f t="shared" si="0"/>
        <v>openData/productServices/savingsInstruments/partialWithdrawalAllowed</v>
      </c>
    </row>
    <row r="55" spans="2:9" ht="43.5">
      <c r="B55" s="19" t="s">
        <v>124</v>
      </c>
      <c r="C55" s="7" t="s">
        <v>126</v>
      </c>
      <c r="D55" s="6" t="s">
        <v>44</v>
      </c>
      <c r="E55" s="6" t="s">
        <v>9</v>
      </c>
      <c r="F55" s="13" t="s">
        <v>19</v>
      </c>
      <c r="G55" s="6" t="s">
        <v>125</v>
      </c>
      <c r="H55" s="7" t="s">
        <v>126</v>
      </c>
      <c r="I55" s="7" t="str">
        <f t="shared" si="0"/>
        <v>openData/productServices/savingsInstruments/earlyWithdrawalPenalties</v>
      </c>
    </row>
    <row r="56" spans="2:9" ht="43.5">
      <c r="B56" s="19" t="s">
        <v>127</v>
      </c>
      <c r="C56" s="7" t="s">
        <v>185</v>
      </c>
      <c r="D56" s="6" t="s">
        <v>96</v>
      </c>
      <c r="E56" s="6" t="s">
        <v>96</v>
      </c>
      <c r="F56" s="13" t="s">
        <v>19</v>
      </c>
      <c r="G56" s="6" t="s">
        <v>93</v>
      </c>
      <c r="H56" s="7" t="s">
        <v>128</v>
      </c>
      <c r="I56" s="7" t="str">
        <f t="shared" si="0"/>
        <v>openData/productServices/savingsInstruments/autoRenewal</v>
      </c>
    </row>
    <row r="57" spans="2:9">
      <c r="B57" s="9"/>
    </row>
    <row r="58" spans="2:9">
      <c r="B58" s="9"/>
    </row>
    <row r="59" spans="2:9">
      <c r="B59" s="9"/>
    </row>
    <row r="60" spans="2:9">
      <c r="B60" s="9"/>
    </row>
    <row r="61" spans="2:9">
      <c r="B61" s="9"/>
    </row>
    <row r="62" spans="2:9">
      <c r="B62" s="9"/>
    </row>
    <row r="63" spans="2:9">
      <c r="B63" s="9"/>
    </row>
    <row r="64" spans="2:9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opendata-savings-instruments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2025-07-07T17:00:17Z</cp:lastPrinted>
  <dcterms:created xsi:type="dcterms:W3CDTF">2025-01-27T18:33:56Z</dcterms:created>
  <dcterms:modified xsi:type="dcterms:W3CDTF">2025-07-07T17:00:18Z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